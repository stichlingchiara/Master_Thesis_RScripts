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stichling/Documents/Master/Thesis/Data_Analysis/Thesis_try/"/>
    </mc:Choice>
  </mc:AlternateContent>
  <xr:revisionPtr revIDLastSave="0" documentId="13_ncr:1_{9DE716B3-E8F7-1E41-9983-D5F3C3D4EC4E}" xr6:coauthVersionLast="47" xr6:coauthVersionMax="47" xr10:uidLastSave="{00000000-0000-0000-0000-000000000000}"/>
  <bookViews>
    <workbookView xWindow="0" yWindow="740" windowWidth="29400" windowHeight="18380" activeTab="2" xr2:uid="{52CE190D-B8A9-254E-B82E-E265356089D1}"/>
  </bookViews>
  <sheets>
    <sheet name="no_compaction" sheetId="1" r:id="rId1"/>
    <sheet name="with_compaction" sheetId="2" r:id="rId2"/>
    <sheet name="with_mean_compaction" sheetId="6" r:id="rId3"/>
    <sheet name="no_compaction_Palau" sheetId="4" r:id="rId4"/>
    <sheet name="no_compaction_Van_Bemmelen" sheetId="5" r:id="rId5"/>
  </sheets>
  <definedNames>
    <definedName name="_xlnm._FilterDatabase" localSheetId="1" hidden="1">with_compaction!$A$1:$AM$109</definedName>
    <definedName name="_xlnm._FilterDatabase" localSheetId="2" hidden="1">with_mean_compaction!$A$1:$AM$110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3" i="1" l="1"/>
  <c r="AI98" i="1"/>
  <c r="AE110" i="6"/>
  <c r="AE5" i="6"/>
  <c r="AD5" i="6"/>
  <c r="H5" i="6"/>
  <c r="I5" i="6"/>
  <c r="G5" i="6"/>
  <c r="C5" i="6"/>
  <c r="R110" i="6"/>
  <c r="P110" i="6"/>
  <c r="I110" i="6"/>
  <c r="C110" i="6"/>
  <c r="AA109" i="6"/>
  <c r="AB109" i="6" s="1"/>
  <c r="X109" i="6"/>
  <c r="Y109" i="6" s="1"/>
  <c r="R109" i="6"/>
  <c r="P109" i="6"/>
  <c r="I109" i="6"/>
  <c r="AE109" i="6" s="1"/>
  <c r="C109" i="6"/>
  <c r="AA108" i="6"/>
  <c r="AB108" i="6" s="1"/>
  <c r="X108" i="6"/>
  <c r="Y108" i="6" s="1"/>
  <c r="R108" i="6"/>
  <c r="P108" i="6"/>
  <c r="I108" i="6"/>
  <c r="AE108" i="6" s="1"/>
  <c r="C108" i="6"/>
  <c r="AA107" i="6"/>
  <c r="AB107" i="6" s="1"/>
  <c r="X107" i="6"/>
  <c r="Y107" i="6" s="1"/>
  <c r="R107" i="6"/>
  <c r="P107" i="6"/>
  <c r="I107" i="6"/>
  <c r="AE107" i="6" s="1"/>
  <c r="C107" i="6"/>
  <c r="AA106" i="6"/>
  <c r="AB106" i="6" s="1"/>
  <c r="X106" i="6"/>
  <c r="Y106" i="6" s="1"/>
  <c r="R106" i="6"/>
  <c r="P106" i="6"/>
  <c r="I106" i="6"/>
  <c r="AE106" i="6" s="1"/>
  <c r="C106" i="6"/>
  <c r="AA105" i="6"/>
  <c r="AB105" i="6" s="1"/>
  <c r="X105" i="6"/>
  <c r="Y105" i="6" s="1"/>
  <c r="R105" i="6"/>
  <c r="P105" i="6"/>
  <c r="I105" i="6"/>
  <c r="AE105" i="6" s="1"/>
  <c r="C105" i="6"/>
  <c r="AA104" i="6"/>
  <c r="AB104" i="6" s="1"/>
  <c r="X104" i="6"/>
  <c r="Y104" i="6" s="1"/>
  <c r="R104" i="6"/>
  <c r="P104" i="6"/>
  <c r="I104" i="6"/>
  <c r="AE104" i="6" s="1"/>
  <c r="C104" i="6"/>
  <c r="AA103" i="6"/>
  <c r="AB103" i="6" s="1"/>
  <c r="X103" i="6"/>
  <c r="Y103" i="6" s="1"/>
  <c r="R103" i="6"/>
  <c r="P103" i="6"/>
  <c r="I103" i="6"/>
  <c r="AE103" i="6" s="1"/>
  <c r="C103" i="6"/>
  <c r="AA102" i="6"/>
  <c r="AB102" i="6" s="1"/>
  <c r="X102" i="6"/>
  <c r="Y102" i="6" s="1"/>
  <c r="R102" i="6"/>
  <c r="P102" i="6"/>
  <c r="I102" i="6"/>
  <c r="AE102" i="6" s="1"/>
  <c r="C102" i="6"/>
  <c r="AA101" i="6"/>
  <c r="AB101" i="6" s="1"/>
  <c r="X101" i="6"/>
  <c r="Y101" i="6" s="1"/>
  <c r="R101" i="6"/>
  <c r="P101" i="6"/>
  <c r="I101" i="6"/>
  <c r="AE101" i="6" s="1"/>
  <c r="C101" i="6"/>
  <c r="AA100" i="6"/>
  <c r="AB100" i="6" s="1"/>
  <c r="X100" i="6"/>
  <c r="Y100" i="6" s="1"/>
  <c r="R100" i="6"/>
  <c r="P100" i="6"/>
  <c r="I100" i="6"/>
  <c r="AE100" i="6" s="1"/>
  <c r="C100" i="6"/>
  <c r="AA99" i="6"/>
  <c r="AB99" i="6" s="1"/>
  <c r="X99" i="6"/>
  <c r="Y99" i="6" s="1"/>
  <c r="R99" i="6"/>
  <c r="P99" i="6"/>
  <c r="I99" i="6"/>
  <c r="AE99" i="6" s="1"/>
  <c r="C99" i="6"/>
  <c r="AA98" i="6"/>
  <c r="AB98" i="6" s="1"/>
  <c r="X98" i="6"/>
  <c r="Y98" i="6" s="1"/>
  <c r="R98" i="6"/>
  <c r="P98" i="6"/>
  <c r="I98" i="6"/>
  <c r="AE98" i="6" s="1"/>
  <c r="C98" i="6"/>
  <c r="AA97" i="6"/>
  <c r="AB97" i="6" s="1"/>
  <c r="X97" i="6"/>
  <c r="Y97" i="6" s="1"/>
  <c r="R97" i="6"/>
  <c r="P97" i="6"/>
  <c r="I97" i="6"/>
  <c r="AE97" i="6" s="1"/>
  <c r="C97" i="6"/>
  <c r="AA96" i="6"/>
  <c r="AB96" i="6" s="1"/>
  <c r="X96" i="6"/>
  <c r="Y96" i="6" s="1"/>
  <c r="R96" i="6"/>
  <c r="P96" i="6"/>
  <c r="I96" i="6"/>
  <c r="AE96" i="6" s="1"/>
  <c r="C96" i="6"/>
  <c r="AA95" i="6"/>
  <c r="AB95" i="6" s="1"/>
  <c r="X95" i="6"/>
  <c r="Y95" i="6" s="1"/>
  <c r="R95" i="6"/>
  <c r="P95" i="6"/>
  <c r="I95" i="6"/>
  <c r="AE95" i="6" s="1"/>
  <c r="C95" i="6"/>
  <c r="AA94" i="6"/>
  <c r="AB94" i="6" s="1"/>
  <c r="X94" i="6"/>
  <c r="Y94" i="6" s="1"/>
  <c r="R94" i="6"/>
  <c r="P94" i="6"/>
  <c r="I94" i="6"/>
  <c r="AE94" i="6" s="1"/>
  <c r="C94" i="6"/>
  <c r="AA93" i="6"/>
  <c r="AB93" i="6" s="1"/>
  <c r="X93" i="6"/>
  <c r="Y93" i="6" s="1"/>
  <c r="R93" i="6"/>
  <c r="P93" i="6"/>
  <c r="I93" i="6"/>
  <c r="AE93" i="6" s="1"/>
  <c r="C93" i="6"/>
  <c r="AA92" i="6"/>
  <c r="AB92" i="6" s="1"/>
  <c r="X92" i="6"/>
  <c r="Y92" i="6" s="1"/>
  <c r="R92" i="6"/>
  <c r="P92" i="6"/>
  <c r="I92" i="6"/>
  <c r="AE92" i="6" s="1"/>
  <c r="C92" i="6"/>
  <c r="AA91" i="6"/>
  <c r="AB91" i="6" s="1"/>
  <c r="X91" i="6"/>
  <c r="Y91" i="6" s="1"/>
  <c r="R91" i="6"/>
  <c r="P91" i="6"/>
  <c r="I91" i="6"/>
  <c r="AE91" i="6" s="1"/>
  <c r="C91" i="6"/>
  <c r="AA90" i="6"/>
  <c r="AB90" i="6" s="1"/>
  <c r="X90" i="6"/>
  <c r="Y90" i="6" s="1"/>
  <c r="R90" i="6"/>
  <c r="P90" i="6"/>
  <c r="I90" i="6"/>
  <c r="AE90" i="6" s="1"/>
  <c r="C90" i="6"/>
  <c r="AA89" i="6"/>
  <c r="AB89" i="6" s="1"/>
  <c r="X89" i="6"/>
  <c r="Y89" i="6" s="1"/>
  <c r="R89" i="6"/>
  <c r="P89" i="6"/>
  <c r="I89" i="6"/>
  <c r="AE89" i="6" s="1"/>
  <c r="C89" i="6"/>
  <c r="AA88" i="6"/>
  <c r="AB88" i="6" s="1"/>
  <c r="X88" i="6"/>
  <c r="Y88" i="6" s="1"/>
  <c r="R88" i="6"/>
  <c r="P88" i="6"/>
  <c r="I88" i="6"/>
  <c r="AE88" i="6" s="1"/>
  <c r="C88" i="6"/>
  <c r="AA87" i="6"/>
  <c r="AB87" i="6" s="1"/>
  <c r="X87" i="6"/>
  <c r="Y87" i="6" s="1"/>
  <c r="R87" i="6"/>
  <c r="P87" i="6"/>
  <c r="I87" i="6"/>
  <c r="AE87" i="6" s="1"/>
  <c r="C87" i="6"/>
  <c r="AA86" i="6"/>
  <c r="AB86" i="6" s="1"/>
  <c r="X86" i="6"/>
  <c r="Y86" i="6" s="1"/>
  <c r="R86" i="6"/>
  <c r="P86" i="6"/>
  <c r="I86" i="6"/>
  <c r="AE86" i="6" s="1"/>
  <c r="C86" i="6"/>
  <c r="AA85" i="6"/>
  <c r="AB85" i="6" s="1"/>
  <c r="X85" i="6"/>
  <c r="Y85" i="6" s="1"/>
  <c r="R85" i="6"/>
  <c r="P85" i="6"/>
  <c r="I85" i="6"/>
  <c r="AE85" i="6" s="1"/>
  <c r="C85" i="6"/>
  <c r="AA84" i="6"/>
  <c r="AB84" i="6" s="1"/>
  <c r="X84" i="6"/>
  <c r="Y84" i="6" s="1"/>
  <c r="R84" i="6"/>
  <c r="P84" i="6"/>
  <c r="I84" i="6"/>
  <c r="AE84" i="6" s="1"/>
  <c r="C84" i="6"/>
  <c r="AA83" i="6"/>
  <c r="AB83" i="6" s="1"/>
  <c r="X83" i="6"/>
  <c r="Y83" i="6" s="1"/>
  <c r="R83" i="6"/>
  <c r="P83" i="6"/>
  <c r="I83" i="6"/>
  <c r="AE83" i="6" s="1"/>
  <c r="C83" i="6"/>
  <c r="AA82" i="6"/>
  <c r="AB82" i="6" s="1"/>
  <c r="X82" i="6"/>
  <c r="Y82" i="6" s="1"/>
  <c r="R82" i="6"/>
  <c r="P82" i="6"/>
  <c r="I82" i="6"/>
  <c r="AE82" i="6" s="1"/>
  <c r="C82" i="6"/>
  <c r="AA81" i="6"/>
  <c r="AB81" i="6" s="1"/>
  <c r="X81" i="6"/>
  <c r="Y81" i="6" s="1"/>
  <c r="R81" i="6"/>
  <c r="P81" i="6"/>
  <c r="I81" i="6"/>
  <c r="AE81" i="6" s="1"/>
  <c r="C81" i="6"/>
  <c r="AA80" i="6"/>
  <c r="AB80" i="6" s="1"/>
  <c r="X80" i="6"/>
  <c r="Y80" i="6" s="1"/>
  <c r="R80" i="6"/>
  <c r="P80" i="6"/>
  <c r="I80" i="6"/>
  <c r="AE80" i="6" s="1"/>
  <c r="C80" i="6"/>
  <c r="AA79" i="6"/>
  <c r="AB79" i="6" s="1"/>
  <c r="X79" i="6"/>
  <c r="Y79" i="6" s="1"/>
  <c r="R79" i="6"/>
  <c r="P79" i="6"/>
  <c r="I79" i="6"/>
  <c r="AE79" i="6" s="1"/>
  <c r="C79" i="6"/>
  <c r="AA78" i="6"/>
  <c r="AB78" i="6" s="1"/>
  <c r="X78" i="6"/>
  <c r="Y78" i="6" s="1"/>
  <c r="R78" i="6"/>
  <c r="P78" i="6"/>
  <c r="I78" i="6"/>
  <c r="AE78" i="6" s="1"/>
  <c r="C78" i="6"/>
  <c r="AA77" i="6"/>
  <c r="AB77" i="6" s="1"/>
  <c r="X77" i="6"/>
  <c r="Y77" i="6" s="1"/>
  <c r="R77" i="6"/>
  <c r="P77" i="6"/>
  <c r="I77" i="6"/>
  <c r="AE77" i="6" s="1"/>
  <c r="C77" i="6"/>
  <c r="AA76" i="6"/>
  <c r="AB76" i="6" s="1"/>
  <c r="X76" i="6"/>
  <c r="Y76" i="6" s="1"/>
  <c r="R76" i="6"/>
  <c r="P76" i="6"/>
  <c r="I76" i="6"/>
  <c r="AE76" i="6" s="1"/>
  <c r="C76" i="6"/>
  <c r="AA75" i="6"/>
  <c r="AB75" i="6" s="1"/>
  <c r="X75" i="6"/>
  <c r="Y75" i="6" s="1"/>
  <c r="R75" i="6"/>
  <c r="P75" i="6"/>
  <c r="I75" i="6"/>
  <c r="AE75" i="6" s="1"/>
  <c r="C75" i="6"/>
  <c r="AA74" i="6"/>
  <c r="AB74" i="6" s="1"/>
  <c r="X74" i="6"/>
  <c r="Y74" i="6" s="1"/>
  <c r="R74" i="6"/>
  <c r="P74" i="6"/>
  <c r="I74" i="6"/>
  <c r="AE74" i="6" s="1"/>
  <c r="C74" i="6"/>
  <c r="AA73" i="6"/>
  <c r="AB73" i="6" s="1"/>
  <c r="X73" i="6"/>
  <c r="Y73" i="6" s="1"/>
  <c r="R73" i="6"/>
  <c r="P73" i="6"/>
  <c r="I73" i="6"/>
  <c r="AE73" i="6" s="1"/>
  <c r="C73" i="6"/>
  <c r="AA72" i="6"/>
  <c r="AB72" i="6" s="1"/>
  <c r="X72" i="6"/>
  <c r="Y72" i="6" s="1"/>
  <c r="R72" i="6"/>
  <c r="P72" i="6"/>
  <c r="I72" i="6"/>
  <c r="AE72" i="6" s="1"/>
  <c r="C72" i="6"/>
  <c r="AA71" i="6"/>
  <c r="AB71" i="6" s="1"/>
  <c r="X71" i="6"/>
  <c r="Y71" i="6" s="1"/>
  <c r="R71" i="6"/>
  <c r="P71" i="6"/>
  <c r="I71" i="6"/>
  <c r="AE71" i="6" s="1"/>
  <c r="C71" i="6"/>
  <c r="AA70" i="6"/>
  <c r="AB70" i="6" s="1"/>
  <c r="X70" i="6"/>
  <c r="Y70" i="6" s="1"/>
  <c r="R70" i="6"/>
  <c r="P70" i="6"/>
  <c r="I70" i="6"/>
  <c r="AE70" i="6" s="1"/>
  <c r="C70" i="6"/>
  <c r="AA69" i="6"/>
  <c r="AB69" i="6" s="1"/>
  <c r="X69" i="6"/>
  <c r="Y69" i="6" s="1"/>
  <c r="R69" i="6"/>
  <c r="P69" i="6"/>
  <c r="I69" i="6"/>
  <c r="AE69" i="6" s="1"/>
  <c r="C69" i="6"/>
  <c r="AA68" i="6"/>
  <c r="AB68" i="6" s="1"/>
  <c r="X68" i="6"/>
  <c r="Y68" i="6" s="1"/>
  <c r="R68" i="6"/>
  <c r="P68" i="6"/>
  <c r="I68" i="6"/>
  <c r="AE68" i="6" s="1"/>
  <c r="C68" i="6"/>
  <c r="AA67" i="6"/>
  <c r="AB67" i="6" s="1"/>
  <c r="X67" i="6"/>
  <c r="Y67" i="6" s="1"/>
  <c r="R67" i="6"/>
  <c r="P67" i="6"/>
  <c r="I67" i="6"/>
  <c r="AE67" i="6" s="1"/>
  <c r="C67" i="6"/>
  <c r="AA66" i="6"/>
  <c r="AB66" i="6" s="1"/>
  <c r="X66" i="6"/>
  <c r="Y66" i="6" s="1"/>
  <c r="R66" i="6"/>
  <c r="P66" i="6"/>
  <c r="I66" i="6"/>
  <c r="AE66" i="6" s="1"/>
  <c r="C66" i="6"/>
  <c r="AA65" i="6"/>
  <c r="AB65" i="6" s="1"/>
  <c r="X65" i="6"/>
  <c r="Y65" i="6" s="1"/>
  <c r="R65" i="6"/>
  <c r="P65" i="6"/>
  <c r="I65" i="6"/>
  <c r="AE65" i="6" s="1"/>
  <c r="C65" i="6"/>
  <c r="AA64" i="6"/>
  <c r="AB64" i="6" s="1"/>
  <c r="X64" i="6"/>
  <c r="Y64" i="6" s="1"/>
  <c r="R64" i="6"/>
  <c r="P64" i="6"/>
  <c r="I64" i="6"/>
  <c r="AE64" i="6" s="1"/>
  <c r="C64" i="6"/>
  <c r="AA63" i="6"/>
  <c r="AB63" i="6" s="1"/>
  <c r="X63" i="6"/>
  <c r="Y63" i="6" s="1"/>
  <c r="R63" i="6"/>
  <c r="P63" i="6"/>
  <c r="I63" i="6"/>
  <c r="AE63" i="6" s="1"/>
  <c r="C63" i="6"/>
  <c r="AA62" i="6"/>
  <c r="AB62" i="6" s="1"/>
  <c r="X62" i="6"/>
  <c r="Y62" i="6" s="1"/>
  <c r="R62" i="6"/>
  <c r="P62" i="6"/>
  <c r="I62" i="6"/>
  <c r="AE62" i="6" s="1"/>
  <c r="C62" i="6"/>
  <c r="AA61" i="6"/>
  <c r="AB61" i="6" s="1"/>
  <c r="X61" i="6"/>
  <c r="Y61" i="6" s="1"/>
  <c r="R61" i="6"/>
  <c r="P61" i="6"/>
  <c r="I61" i="6"/>
  <c r="AE61" i="6" s="1"/>
  <c r="C61" i="6"/>
  <c r="AA60" i="6"/>
  <c r="AB60" i="6" s="1"/>
  <c r="X60" i="6"/>
  <c r="Y60" i="6" s="1"/>
  <c r="R60" i="6"/>
  <c r="P60" i="6"/>
  <c r="I60" i="6"/>
  <c r="AE60" i="6" s="1"/>
  <c r="C60" i="6"/>
  <c r="AA59" i="6"/>
  <c r="AB59" i="6" s="1"/>
  <c r="X59" i="6"/>
  <c r="Y59" i="6" s="1"/>
  <c r="R59" i="6"/>
  <c r="P59" i="6"/>
  <c r="I59" i="6"/>
  <c r="AE59" i="6" s="1"/>
  <c r="C59" i="6"/>
  <c r="AA58" i="6"/>
  <c r="AB58" i="6" s="1"/>
  <c r="X58" i="6"/>
  <c r="Y58" i="6" s="1"/>
  <c r="R58" i="6"/>
  <c r="P58" i="6"/>
  <c r="I58" i="6"/>
  <c r="AE58" i="6" s="1"/>
  <c r="C58" i="6"/>
  <c r="AA57" i="6"/>
  <c r="AB57" i="6" s="1"/>
  <c r="X57" i="6"/>
  <c r="Y57" i="6" s="1"/>
  <c r="R57" i="6"/>
  <c r="P57" i="6"/>
  <c r="I57" i="6"/>
  <c r="AE57" i="6" s="1"/>
  <c r="C57" i="6"/>
  <c r="AA56" i="6"/>
  <c r="AB56" i="6" s="1"/>
  <c r="X56" i="6"/>
  <c r="Y56" i="6" s="1"/>
  <c r="R56" i="6"/>
  <c r="P56" i="6"/>
  <c r="I56" i="6"/>
  <c r="AE56" i="6" s="1"/>
  <c r="C56" i="6"/>
  <c r="AA55" i="6"/>
  <c r="AB55" i="6" s="1"/>
  <c r="X55" i="6"/>
  <c r="Y55" i="6" s="1"/>
  <c r="R55" i="6"/>
  <c r="P55" i="6"/>
  <c r="I55" i="6"/>
  <c r="AE55" i="6" s="1"/>
  <c r="C55" i="6"/>
  <c r="AA54" i="6"/>
  <c r="AB54" i="6" s="1"/>
  <c r="X54" i="6"/>
  <c r="Y54" i="6" s="1"/>
  <c r="R54" i="6"/>
  <c r="P54" i="6"/>
  <c r="I54" i="6"/>
  <c r="AE54" i="6" s="1"/>
  <c r="C54" i="6"/>
  <c r="AA53" i="6"/>
  <c r="AB53" i="6" s="1"/>
  <c r="X53" i="6"/>
  <c r="Y53" i="6" s="1"/>
  <c r="R53" i="6"/>
  <c r="P53" i="6"/>
  <c r="I53" i="6"/>
  <c r="AE53" i="6" s="1"/>
  <c r="C53" i="6"/>
  <c r="AA52" i="6"/>
  <c r="AB52" i="6" s="1"/>
  <c r="X52" i="6"/>
  <c r="Y52" i="6" s="1"/>
  <c r="R52" i="6"/>
  <c r="P52" i="6"/>
  <c r="I52" i="6"/>
  <c r="AE52" i="6" s="1"/>
  <c r="C52" i="6"/>
  <c r="AA51" i="6"/>
  <c r="AB51" i="6" s="1"/>
  <c r="X51" i="6"/>
  <c r="Y51" i="6" s="1"/>
  <c r="R51" i="6"/>
  <c r="P51" i="6"/>
  <c r="I51" i="6"/>
  <c r="AE51" i="6" s="1"/>
  <c r="C51" i="6"/>
  <c r="AA50" i="6"/>
  <c r="AB50" i="6" s="1"/>
  <c r="X50" i="6"/>
  <c r="Y50" i="6" s="1"/>
  <c r="R50" i="6"/>
  <c r="P50" i="6"/>
  <c r="I50" i="6"/>
  <c r="AE50" i="6" s="1"/>
  <c r="C50" i="6"/>
  <c r="AA49" i="6"/>
  <c r="AB49" i="6" s="1"/>
  <c r="X49" i="6"/>
  <c r="Y49" i="6" s="1"/>
  <c r="R49" i="6"/>
  <c r="P49" i="6"/>
  <c r="I49" i="6"/>
  <c r="AE49" i="6" s="1"/>
  <c r="C49" i="6"/>
  <c r="AA48" i="6"/>
  <c r="AB48" i="6" s="1"/>
  <c r="X48" i="6"/>
  <c r="Y48" i="6" s="1"/>
  <c r="R48" i="6"/>
  <c r="P48" i="6"/>
  <c r="I48" i="6"/>
  <c r="AE48" i="6" s="1"/>
  <c r="C48" i="6"/>
  <c r="AG47" i="6"/>
  <c r="AE47" i="6"/>
  <c r="AH47" i="6" s="1"/>
  <c r="C47" i="6"/>
  <c r="AG46" i="6"/>
  <c r="AE46" i="6"/>
  <c r="AH46" i="6" s="1"/>
  <c r="C46" i="6"/>
  <c r="AG45" i="6"/>
  <c r="AE45" i="6"/>
  <c r="AH45" i="6" s="1"/>
  <c r="C45" i="6"/>
  <c r="AG44" i="6"/>
  <c r="AE44" i="6"/>
  <c r="AH44" i="6" s="1"/>
  <c r="C44" i="6"/>
  <c r="AG43" i="6"/>
  <c r="AE43" i="6"/>
  <c r="AH43" i="6" s="1"/>
  <c r="C43" i="6"/>
  <c r="AG42" i="6"/>
  <c r="AE42" i="6"/>
  <c r="AH42" i="6" s="1"/>
  <c r="C42" i="6"/>
  <c r="AG41" i="6"/>
  <c r="AE41" i="6"/>
  <c r="AH41" i="6" s="1"/>
  <c r="C41" i="6"/>
  <c r="AG40" i="6"/>
  <c r="AE40" i="6"/>
  <c r="AH40" i="6" s="1"/>
  <c r="C40" i="6"/>
  <c r="AG39" i="6"/>
  <c r="AE39" i="6"/>
  <c r="AH39" i="6" s="1"/>
  <c r="C39" i="6"/>
  <c r="AG38" i="6"/>
  <c r="AE38" i="6"/>
  <c r="AH38" i="6" s="1"/>
  <c r="C38" i="6"/>
  <c r="AG37" i="6"/>
  <c r="AE37" i="6"/>
  <c r="AH37" i="6" s="1"/>
  <c r="C37" i="6"/>
  <c r="AG36" i="6"/>
  <c r="AE36" i="6"/>
  <c r="AH36" i="6" s="1"/>
  <c r="C36" i="6"/>
  <c r="AG35" i="6"/>
  <c r="AE35" i="6"/>
  <c r="AH35" i="6" s="1"/>
  <c r="C35" i="6"/>
  <c r="AG34" i="6"/>
  <c r="AE34" i="6"/>
  <c r="AH34" i="6" s="1"/>
  <c r="C34" i="6"/>
  <c r="AG33" i="6"/>
  <c r="AE33" i="6"/>
  <c r="AH33" i="6" s="1"/>
  <c r="C33" i="6"/>
  <c r="AG32" i="6"/>
  <c r="AE32" i="6"/>
  <c r="AH32" i="6" s="1"/>
  <c r="C32" i="6"/>
  <c r="AG31" i="6"/>
  <c r="AE31" i="6"/>
  <c r="AH31" i="6" s="1"/>
  <c r="C31" i="6"/>
  <c r="AG30" i="6"/>
  <c r="AE30" i="6"/>
  <c r="AH30" i="6" s="1"/>
  <c r="C30" i="6"/>
  <c r="AA29" i="6"/>
  <c r="AB29" i="6" s="1"/>
  <c r="X29" i="6"/>
  <c r="Y29" i="6" s="1"/>
  <c r="R29" i="6"/>
  <c r="P29" i="6"/>
  <c r="I29" i="6"/>
  <c r="AE29" i="6" s="1"/>
  <c r="C29" i="6"/>
  <c r="AA28" i="6"/>
  <c r="AB28" i="6" s="1"/>
  <c r="X28" i="6"/>
  <c r="Y28" i="6" s="1"/>
  <c r="R28" i="6"/>
  <c r="P28" i="6"/>
  <c r="I28" i="6"/>
  <c r="AE28" i="6" s="1"/>
  <c r="C28" i="6"/>
  <c r="AA27" i="6"/>
  <c r="AB27" i="6" s="1"/>
  <c r="X27" i="6"/>
  <c r="Y27" i="6" s="1"/>
  <c r="R27" i="6"/>
  <c r="P27" i="6"/>
  <c r="I27" i="6"/>
  <c r="AE27" i="6" s="1"/>
  <c r="C27" i="6"/>
  <c r="AA26" i="6"/>
  <c r="AB26" i="6" s="1"/>
  <c r="X26" i="6"/>
  <c r="Y26" i="6" s="1"/>
  <c r="R26" i="6"/>
  <c r="P26" i="6"/>
  <c r="I26" i="6"/>
  <c r="AE26" i="6" s="1"/>
  <c r="C26" i="6"/>
  <c r="AA25" i="6"/>
  <c r="AB25" i="6" s="1"/>
  <c r="X25" i="6"/>
  <c r="Y25" i="6" s="1"/>
  <c r="R25" i="6"/>
  <c r="P25" i="6"/>
  <c r="I25" i="6"/>
  <c r="AE25" i="6" s="1"/>
  <c r="C25" i="6"/>
  <c r="AA24" i="6"/>
  <c r="AB24" i="6" s="1"/>
  <c r="X24" i="6"/>
  <c r="Y24" i="6" s="1"/>
  <c r="R24" i="6"/>
  <c r="P24" i="6"/>
  <c r="I24" i="6"/>
  <c r="AE24" i="6" s="1"/>
  <c r="C24" i="6"/>
  <c r="AA23" i="6"/>
  <c r="AB23" i="6" s="1"/>
  <c r="X23" i="6"/>
  <c r="Y23" i="6" s="1"/>
  <c r="R23" i="6"/>
  <c r="P23" i="6"/>
  <c r="I23" i="6"/>
  <c r="AE23" i="6" s="1"/>
  <c r="C23" i="6"/>
  <c r="C22" i="6"/>
  <c r="AA21" i="6"/>
  <c r="AB21" i="6" s="1"/>
  <c r="X21" i="6"/>
  <c r="Y21" i="6" s="1"/>
  <c r="R21" i="6"/>
  <c r="P21" i="6"/>
  <c r="I21" i="6"/>
  <c r="AE21" i="6" s="1"/>
  <c r="C21" i="6"/>
  <c r="AA20" i="6"/>
  <c r="AB20" i="6" s="1"/>
  <c r="X20" i="6"/>
  <c r="Y20" i="6" s="1"/>
  <c r="R20" i="6"/>
  <c r="P20" i="6"/>
  <c r="I20" i="6"/>
  <c r="AE20" i="6" s="1"/>
  <c r="C20" i="6"/>
  <c r="AA19" i="6"/>
  <c r="AB19" i="6" s="1"/>
  <c r="X19" i="6"/>
  <c r="Y19" i="6" s="1"/>
  <c r="R19" i="6"/>
  <c r="P19" i="6"/>
  <c r="I19" i="6"/>
  <c r="AE19" i="6" s="1"/>
  <c r="C19" i="6"/>
  <c r="AA18" i="6"/>
  <c r="AB18" i="6" s="1"/>
  <c r="X18" i="6"/>
  <c r="Y18" i="6" s="1"/>
  <c r="R18" i="6"/>
  <c r="P18" i="6"/>
  <c r="I18" i="6"/>
  <c r="AE18" i="6" s="1"/>
  <c r="C18" i="6"/>
  <c r="AA17" i="6"/>
  <c r="AB17" i="6" s="1"/>
  <c r="X17" i="6"/>
  <c r="Y17" i="6" s="1"/>
  <c r="R17" i="6"/>
  <c r="P17" i="6"/>
  <c r="I17" i="6"/>
  <c r="AE17" i="6" s="1"/>
  <c r="C17" i="6"/>
  <c r="AA16" i="6"/>
  <c r="AB16" i="6" s="1"/>
  <c r="X16" i="6"/>
  <c r="Y16" i="6" s="1"/>
  <c r="R16" i="6"/>
  <c r="P16" i="6"/>
  <c r="I16" i="6"/>
  <c r="AE16" i="6" s="1"/>
  <c r="C16" i="6"/>
  <c r="AA15" i="6"/>
  <c r="AB15" i="6" s="1"/>
  <c r="X15" i="6"/>
  <c r="Y15" i="6" s="1"/>
  <c r="R15" i="6"/>
  <c r="P15" i="6"/>
  <c r="I15" i="6"/>
  <c r="AE15" i="6" s="1"/>
  <c r="C15" i="6"/>
  <c r="AA14" i="6"/>
  <c r="AB14" i="6" s="1"/>
  <c r="X14" i="6"/>
  <c r="Y14" i="6" s="1"/>
  <c r="R14" i="6"/>
  <c r="P14" i="6"/>
  <c r="I14" i="6"/>
  <c r="AE14" i="6" s="1"/>
  <c r="C14" i="6"/>
  <c r="C13" i="6"/>
  <c r="AA12" i="6"/>
  <c r="AB12" i="6" s="1"/>
  <c r="X12" i="6"/>
  <c r="Y12" i="6" s="1"/>
  <c r="R12" i="6"/>
  <c r="P12" i="6"/>
  <c r="I12" i="6"/>
  <c r="AE12" i="6" s="1"/>
  <c r="C12" i="6"/>
  <c r="AA11" i="6"/>
  <c r="AB11" i="6" s="1"/>
  <c r="X11" i="6"/>
  <c r="Y11" i="6" s="1"/>
  <c r="R11" i="6"/>
  <c r="P11" i="6"/>
  <c r="I11" i="6"/>
  <c r="AE11" i="6" s="1"/>
  <c r="C11" i="6"/>
  <c r="AE10" i="6"/>
  <c r="AA10" i="6"/>
  <c r="AB10" i="6" s="1"/>
  <c r="X10" i="6"/>
  <c r="Y10" i="6" s="1"/>
  <c r="R10" i="6"/>
  <c r="P10" i="6"/>
  <c r="C10" i="6"/>
  <c r="AE9" i="6"/>
  <c r="AA9" i="6"/>
  <c r="AB9" i="6" s="1"/>
  <c r="X9" i="6"/>
  <c r="Y9" i="6" s="1"/>
  <c r="R9" i="6"/>
  <c r="P9" i="6"/>
  <c r="C9" i="6"/>
  <c r="AE8" i="6"/>
  <c r="AA8" i="6"/>
  <c r="AB8" i="6" s="1"/>
  <c r="X8" i="6"/>
  <c r="Y8" i="6" s="1"/>
  <c r="R8" i="6"/>
  <c r="P8" i="6"/>
  <c r="C8" i="6"/>
  <c r="C7" i="6"/>
  <c r="AA6" i="6"/>
  <c r="AB6" i="6" s="1"/>
  <c r="X6" i="6"/>
  <c r="Y6" i="6" s="1"/>
  <c r="R6" i="6"/>
  <c r="P6" i="6"/>
  <c r="I6" i="6"/>
  <c r="AE6" i="6" s="1"/>
  <c r="C6" i="6"/>
  <c r="AA4" i="6"/>
  <c r="AB4" i="6" s="1"/>
  <c r="X4" i="6"/>
  <c r="Y4" i="6" s="1"/>
  <c r="R4" i="6"/>
  <c r="P4" i="6"/>
  <c r="I4" i="6"/>
  <c r="AE4" i="6" s="1"/>
  <c r="C4" i="6"/>
  <c r="AA3" i="6"/>
  <c r="AB3" i="6" s="1"/>
  <c r="X3" i="6"/>
  <c r="Y3" i="6" s="1"/>
  <c r="R3" i="6"/>
  <c r="P3" i="6"/>
  <c r="I3" i="6"/>
  <c r="AE3" i="6" s="1"/>
  <c r="C3" i="6"/>
  <c r="C2" i="6"/>
  <c r="AD5" i="5"/>
  <c r="C98" i="2"/>
  <c r="I98" i="2"/>
  <c r="AE98" i="2" s="1"/>
  <c r="AH98" i="2" s="1"/>
  <c r="AI98" i="2" s="1"/>
  <c r="P98" i="2"/>
  <c r="R98" i="2"/>
  <c r="S98" i="2"/>
  <c r="T98" i="2"/>
  <c r="X98" i="2"/>
  <c r="Y98" i="2"/>
  <c r="AA98" i="2"/>
  <c r="AB98" i="2"/>
  <c r="AC98" i="2" s="1"/>
  <c r="AF98" i="2"/>
  <c r="AG98" i="2"/>
  <c r="C99" i="2"/>
  <c r="I99" i="2"/>
  <c r="P99" i="2"/>
  <c r="R99" i="2"/>
  <c r="S99" i="2"/>
  <c r="T99" i="2"/>
  <c r="X99" i="2"/>
  <c r="Y99" i="2"/>
  <c r="AA99" i="2"/>
  <c r="AB99" i="2"/>
  <c r="AC99" i="2"/>
  <c r="AE99" i="2"/>
  <c r="AF99" i="2"/>
  <c r="AG99" i="2"/>
  <c r="AH99" i="2"/>
  <c r="AI99" i="2"/>
  <c r="C100" i="2"/>
  <c r="I100" i="2"/>
  <c r="P100" i="2"/>
  <c r="R100" i="2"/>
  <c r="S100" i="2"/>
  <c r="T100" i="2"/>
  <c r="X100" i="2"/>
  <c r="Y100" i="2"/>
  <c r="AA100" i="2"/>
  <c r="AB100" i="2"/>
  <c r="AC100" i="2"/>
  <c r="AE100" i="2"/>
  <c r="AF100" i="2"/>
  <c r="AG100" i="2" s="1"/>
  <c r="AH100" i="2" s="1"/>
  <c r="AI100" i="2" s="1"/>
  <c r="AE7" i="2"/>
  <c r="AE8" i="2"/>
  <c r="AE9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5" i="5"/>
  <c r="AE29" i="5"/>
  <c r="AF29" i="5" s="1"/>
  <c r="AE30" i="5"/>
  <c r="AF30" i="5" s="1"/>
  <c r="AE31" i="5"/>
  <c r="AF31" i="5" s="1"/>
  <c r="AE32" i="5"/>
  <c r="AF32" i="5" s="1"/>
  <c r="AE33" i="5"/>
  <c r="AF33" i="5" s="1"/>
  <c r="AE34" i="5"/>
  <c r="AF34" i="5" s="1"/>
  <c r="AE35" i="5"/>
  <c r="AF35" i="5" s="1"/>
  <c r="AE36" i="5"/>
  <c r="AF36" i="5" s="1"/>
  <c r="AE37" i="5"/>
  <c r="AF37" i="5" s="1"/>
  <c r="AE38" i="5"/>
  <c r="AF38" i="5" s="1"/>
  <c r="AE39" i="5"/>
  <c r="AF39" i="5" s="1"/>
  <c r="AE40" i="5"/>
  <c r="AF40" i="5" s="1"/>
  <c r="AE41" i="5"/>
  <c r="AF41" i="5" s="1"/>
  <c r="AE42" i="5"/>
  <c r="AF42" i="5" s="1"/>
  <c r="AE43" i="5"/>
  <c r="AF43" i="5" s="1"/>
  <c r="AE44" i="5"/>
  <c r="AF44" i="5" s="1"/>
  <c r="AE45" i="5"/>
  <c r="AF45" i="5" s="1"/>
  <c r="AE46" i="5"/>
  <c r="AF46" i="5" s="1"/>
  <c r="Q109" i="5"/>
  <c r="O109" i="5"/>
  <c r="I109" i="5"/>
  <c r="C109" i="5"/>
  <c r="Z108" i="5"/>
  <c r="AA108" i="5" s="1"/>
  <c r="W108" i="5"/>
  <c r="X108" i="5" s="1"/>
  <c r="Q108" i="5"/>
  <c r="O108" i="5"/>
  <c r="I108" i="5"/>
  <c r="C108" i="5"/>
  <c r="Z107" i="5"/>
  <c r="AA107" i="5" s="1"/>
  <c r="W107" i="5"/>
  <c r="X107" i="5" s="1"/>
  <c r="Q107" i="5"/>
  <c r="O107" i="5"/>
  <c r="I107" i="5"/>
  <c r="C107" i="5"/>
  <c r="Z106" i="5"/>
  <c r="AA106" i="5" s="1"/>
  <c r="W106" i="5"/>
  <c r="X106" i="5" s="1"/>
  <c r="Q106" i="5"/>
  <c r="O106" i="5"/>
  <c r="I106" i="5"/>
  <c r="C106" i="5"/>
  <c r="Z105" i="5"/>
  <c r="AA105" i="5" s="1"/>
  <c r="W105" i="5"/>
  <c r="X105" i="5" s="1"/>
  <c r="Q105" i="5"/>
  <c r="O105" i="5"/>
  <c r="I105" i="5"/>
  <c r="C105" i="5"/>
  <c r="Z104" i="5"/>
  <c r="AA104" i="5" s="1"/>
  <c r="W104" i="5"/>
  <c r="X104" i="5" s="1"/>
  <c r="Q104" i="5"/>
  <c r="O104" i="5"/>
  <c r="I104" i="5"/>
  <c r="C104" i="5"/>
  <c r="Z103" i="5"/>
  <c r="AA103" i="5" s="1"/>
  <c r="W103" i="5"/>
  <c r="X103" i="5" s="1"/>
  <c r="Q103" i="5"/>
  <c r="O103" i="5"/>
  <c r="I103" i="5"/>
  <c r="C103" i="5"/>
  <c r="Z102" i="5"/>
  <c r="AA102" i="5" s="1"/>
  <c r="W102" i="5"/>
  <c r="X102" i="5" s="1"/>
  <c r="Q102" i="5"/>
  <c r="O102" i="5"/>
  <c r="I102" i="5"/>
  <c r="C102" i="5"/>
  <c r="Z101" i="5"/>
  <c r="AA101" i="5" s="1"/>
  <c r="W101" i="5"/>
  <c r="X101" i="5" s="1"/>
  <c r="Q101" i="5"/>
  <c r="O101" i="5"/>
  <c r="I101" i="5"/>
  <c r="C101" i="5"/>
  <c r="Z100" i="5"/>
  <c r="AA100" i="5" s="1"/>
  <c r="W100" i="5"/>
  <c r="X100" i="5" s="1"/>
  <c r="Q100" i="5"/>
  <c r="O100" i="5"/>
  <c r="I100" i="5"/>
  <c r="C100" i="5"/>
  <c r="Z99" i="5"/>
  <c r="AA99" i="5" s="1"/>
  <c r="W99" i="5"/>
  <c r="X99" i="5" s="1"/>
  <c r="Q99" i="5"/>
  <c r="O99" i="5"/>
  <c r="I99" i="5"/>
  <c r="C99" i="5"/>
  <c r="Z98" i="5"/>
  <c r="AA98" i="5" s="1"/>
  <c r="W98" i="5"/>
  <c r="X98" i="5" s="1"/>
  <c r="Q98" i="5"/>
  <c r="O98" i="5"/>
  <c r="I98" i="5"/>
  <c r="C98" i="5"/>
  <c r="Z97" i="5"/>
  <c r="AA97" i="5" s="1"/>
  <c r="W97" i="5"/>
  <c r="X97" i="5" s="1"/>
  <c r="Q97" i="5"/>
  <c r="O97" i="5"/>
  <c r="I97" i="5"/>
  <c r="C97" i="5"/>
  <c r="Z96" i="5"/>
  <c r="AA96" i="5" s="1"/>
  <c r="W96" i="5"/>
  <c r="X96" i="5" s="1"/>
  <c r="Q96" i="5"/>
  <c r="O96" i="5"/>
  <c r="I96" i="5"/>
  <c r="C96" i="5"/>
  <c r="Z95" i="5"/>
  <c r="AA95" i="5" s="1"/>
  <c r="W95" i="5"/>
  <c r="X95" i="5" s="1"/>
  <c r="Q95" i="5"/>
  <c r="O95" i="5"/>
  <c r="I95" i="5"/>
  <c r="C95" i="5"/>
  <c r="Z94" i="5"/>
  <c r="AA94" i="5" s="1"/>
  <c r="W94" i="5"/>
  <c r="X94" i="5" s="1"/>
  <c r="Q94" i="5"/>
  <c r="O94" i="5"/>
  <c r="I94" i="5"/>
  <c r="C94" i="5"/>
  <c r="Z93" i="5"/>
  <c r="AA93" i="5" s="1"/>
  <c r="W93" i="5"/>
  <c r="X93" i="5" s="1"/>
  <c r="Q93" i="5"/>
  <c r="O93" i="5"/>
  <c r="I93" i="5"/>
  <c r="C93" i="5"/>
  <c r="Z92" i="5"/>
  <c r="AA92" i="5" s="1"/>
  <c r="W92" i="5"/>
  <c r="X92" i="5" s="1"/>
  <c r="Q92" i="5"/>
  <c r="O92" i="5"/>
  <c r="I92" i="5"/>
  <c r="C92" i="5"/>
  <c r="Z91" i="5"/>
  <c r="AA91" i="5" s="1"/>
  <c r="W91" i="5"/>
  <c r="X91" i="5" s="1"/>
  <c r="Q91" i="5"/>
  <c r="O91" i="5"/>
  <c r="I91" i="5"/>
  <c r="C91" i="5"/>
  <c r="Z90" i="5"/>
  <c r="AA90" i="5" s="1"/>
  <c r="W90" i="5"/>
  <c r="X90" i="5" s="1"/>
  <c r="Q90" i="5"/>
  <c r="O90" i="5"/>
  <c r="I90" i="5"/>
  <c r="C90" i="5"/>
  <c r="Z89" i="5"/>
  <c r="AA89" i="5" s="1"/>
  <c r="W89" i="5"/>
  <c r="X89" i="5" s="1"/>
  <c r="Q89" i="5"/>
  <c r="O89" i="5"/>
  <c r="I89" i="5"/>
  <c r="C89" i="5"/>
  <c r="Z88" i="5"/>
  <c r="AA88" i="5" s="1"/>
  <c r="W88" i="5"/>
  <c r="X88" i="5" s="1"/>
  <c r="Q88" i="5"/>
  <c r="O88" i="5"/>
  <c r="I88" i="5"/>
  <c r="C88" i="5"/>
  <c r="Z87" i="5"/>
  <c r="AA87" i="5" s="1"/>
  <c r="W87" i="5"/>
  <c r="X87" i="5" s="1"/>
  <c r="Q87" i="5"/>
  <c r="O87" i="5"/>
  <c r="I87" i="5"/>
  <c r="C87" i="5"/>
  <c r="Z86" i="5"/>
  <c r="AA86" i="5" s="1"/>
  <c r="W86" i="5"/>
  <c r="X86" i="5" s="1"/>
  <c r="Q86" i="5"/>
  <c r="O86" i="5"/>
  <c r="I86" i="5"/>
  <c r="C86" i="5"/>
  <c r="Z85" i="5"/>
  <c r="AA85" i="5" s="1"/>
  <c r="W85" i="5"/>
  <c r="X85" i="5" s="1"/>
  <c r="Q85" i="5"/>
  <c r="O85" i="5"/>
  <c r="I85" i="5"/>
  <c r="C85" i="5"/>
  <c r="Z84" i="5"/>
  <c r="AA84" i="5" s="1"/>
  <c r="W84" i="5"/>
  <c r="X84" i="5" s="1"/>
  <c r="Q84" i="5"/>
  <c r="O84" i="5"/>
  <c r="I84" i="5"/>
  <c r="C84" i="5"/>
  <c r="Z83" i="5"/>
  <c r="AA83" i="5" s="1"/>
  <c r="W83" i="5"/>
  <c r="X83" i="5" s="1"/>
  <c r="Q83" i="5"/>
  <c r="O83" i="5"/>
  <c r="I83" i="5"/>
  <c r="C83" i="5"/>
  <c r="Z82" i="5"/>
  <c r="AA82" i="5" s="1"/>
  <c r="W82" i="5"/>
  <c r="X82" i="5" s="1"/>
  <c r="Q82" i="5"/>
  <c r="O82" i="5"/>
  <c r="I82" i="5"/>
  <c r="C82" i="5"/>
  <c r="Z81" i="5"/>
  <c r="AA81" i="5" s="1"/>
  <c r="W81" i="5"/>
  <c r="X81" i="5" s="1"/>
  <c r="Q81" i="5"/>
  <c r="O81" i="5"/>
  <c r="I81" i="5"/>
  <c r="C81" i="5"/>
  <c r="Z80" i="5"/>
  <c r="AA80" i="5" s="1"/>
  <c r="W80" i="5"/>
  <c r="X80" i="5" s="1"/>
  <c r="Q80" i="5"/>
  <c r="O80" i="5"/>
  <c r="I80" i="5"/>
  <c r="C80" i="5"/>
  <c r="Z79" i="5"/>
  <c r="AA79" i="5" s="1"/>
  <c r="W79" i="5"/>
  <c r="X79" i="5" s="1"/>
  <c r="Q79" i="5"/>
  <c r="O79" i="5"/>
  <c r="I79" i="5"/>
  <c r="C79" i="5"/>
  <c r="Z78" i="5"/>
  <c r="AA78" i="5" s="1"/>
  <c r="W78" i="5"/>
  <c r="X78" i="5" s="1"/>
  <c r="Q78" i="5"/>
  <c r="O78" i="5"/>
  <c r="I78" i="5"/>
  <c r="C78" i="5"/>
  <c r="Z77" i="5"/>
  <c r="AA77" i="5" s="1"/>
  <c r="W77" i="5"/>
  <c r="X77" i="5" s="1"/>
  <c r="Q77" i="5"/>
  <c r="O77" i="5"/>
  <c r="I77" i="5"/>
  <c r="C77" i="5"/>
  <c r="Z76" i="5"/>
  <c r="AA76" i="5" s="1"/>
  <c r="W76" i="5"/>
  <c r="X76" i="5" s="1"/>
  <c r="Q76" i="5"/>
  <c r="O76" i="5"/>
  <c r="I76" i="5"/>
  <c r="C76" i="5"/>
  <c r="Z75" i="5"/>
  <c r="AA75" i="5" s="1"/>
  <c r="W75" i="5"/>
  <c r="X75" i="5" s="1"/>
  <c r="Q75" i="5"/>
  <c r="O75" i="5"/>
  <c r="I75" i="5"/>
  <c r="C75" i="5"/>
  <c r="Z74" i="5"/>
  <c r="AA74" i="5" s="1"/>
  <c r="W74" i="5"/>
  <c r="X74" i="5" s="1"/>
  <c r="Q74" i="5"/>
  <c r="O74" i="5"/>
  <c r="I74" i="5"/>
  <c r="C74" i="5"/>
  <c r="Z73" i="5"/>
  <c r="AA73" i="5" s="1"/>
  <c r="W73" i="5"/>
  <c r="X73" i="5" s="1"/>
  <c r="Q73" i="5"/>
  <c r="O73" i="5"/>
  <c r="I73" i="5"/>
  <c r="C73" i="5"/>
  <c r="Z72" i="5"/>
  <c r="AA72" i="5" s="1"/>
  <c r="W72" i="5"/>
  <c r="X72" i="5" s="1"/>
  <c r="Q72" i="5"/>
  <c r="O72" i="5"/>
  <c r="I72" i="5"/>
  <c r="C72" i="5"/>
  <c r="Z71" i="5"/>
  <c r="AA71" i="5" s="1"/>
  <c r="W71" i="5"/>
  <c r="X71" i="5" s="1"/>
  <c r="Q71" i="5"/>
  <c r="O71" i="5"/>
  <c r="I71" i="5"/>
  <c r="C71" i="5"/>
  <c r="Z70" i="5"/>
  <c r="AA70" i="5" s="1"/>
  <c r="W70" i="5"/>
  <c r="X70" i="5" s="1"/>
  <c r="Q70" i="5"/>
  <c r="O70" i="5"/>
  <c r="I70" i="5"/>
  <c r="C70" i="5"/>
  <c r="Z69" i="5"/>
  <c r="AA69" i="5" s="1"/>
  <c r="W69" i="5"/>
  <c r="X69" i="5" s="1"/>
  <c r="Q69" i="5"/>
  <c r="O69" i="5"/>
  <c r="I69" i="5"/>
  <c r="C69" i="5"/>
  <c r="Z68" i="5"/>
  <c r="AA68" i="5" s="1"/>
  <c r="W68" i="5"/>
  <c r="X68" i="5" s="1"/>
  <c r="Q68" i="5"/>
  <c r="O68" i="5"/>
  <c r="I68" i="5"/>
  <c r="C68" i="5"/>
  <c r="Z67" i="5"/>
  <c r="AA67" i="5" s="1"/>
  <c r="W67" i="5"/>
  <c r="X67" i="5" s="1"/>
  <c r="Q67" i="5"/>
  <c r="O67" i="5"/>
  <c r="I67" i="5"/>
  <c r="C67" i="5"/>
  <c r="Z66" i="5"/>
  <c r="AA66" i="5" s="1"/>
  <c r="W66" i="5"/>
  <c r="X66" i="5" s="1"/>
  <c r="Q66" i="5"/>
  <c r="O66" i="5"/>
  <c r="I66" i="5"/>
  <c r="C66" i="5"/>
  <c r="Z65" i="5"/>
  <c r="AA65" i="5" s="1"/>
  <c r="W65" i="5"/>
  <c r="X65" i="5" s="1"/>
  <c r="Q65" i="5"/>
  <c r="O65" i="5"/>
  <c r="I65" i="5"/>
  <c r="C65" i="5"/>
  <c r="Z64" i="5"/>
  <c r="AA64" i="5" s="1"/>
  <c r="W64" i="5"/>
  <c r="X64" i="5" s="1"/>
  <c r="Q64" i="5"/>
  <c r="O64" i="5"/>
  <c r="I64" i="5"/>
  <c r="C64" i="5"/>
  <c r="Z63" i="5"/>
  <c r="AA63" i="5" s="1"/>
  <c r="W63" i="5"/>
  <c r="X63" i="5" s="1"/>
  <c r="Q63" i="5"/>
  <c r="O63" i="5"/>
  <c r="I63" i="5"/>
  <c r="C63" i="5"/>
  <c r="Z62" i="5"/>
  <c r="AA62" i="5" s="1"/>
  <c r="W62" i="5"/>
  <c r="X62" i="5" s="1"/>
  <c r="Q62" i="5"/>
  <c r="O62" i="5"/>
  <c r="I62" i="5"/>
  <c r="C62" i="5"/>
  <c r="Z61" i="5"/>
  <c r="AA61" i="5" s="1"/>
  <c r="W61" i="5"/>
  <c r="X61" i="5" s="1"/>
  <c r="Q61" i="5"/>
  <c r="O61" i="5"/>
  <c r="I61" i="5"/>
  <c r="C61" i="5"/>
  <c r="Z60" i="5"/>
  <c r="AA60" i="5" s="1"/>
  <c r="W60" i="5"/>
  <c r="X60" i="5" s="1"/>
  <c r="Q60" i="5"/>
  <c r="O60" i="5"/>
  <c r="I60" i="5"/>
  <c r="C60" i="5"/>
  <c r="Z59" i="5"/>
  <c r="AA59" i="5" s="1"/>
  <c r="W59" i="5"/>
  <c r="X59" i="5" s="1"/>
  <c r="Q59" i="5"/>
  <c r="O59" i="5"/>
  <c r="I59" i="5"/>
  <c r="C59" i="5"/>
  <c r="Z58" i="5"/>
  <c r="AA58" i="5" s="1"/>
  <c r="W58" i="5"/>
  <c r="X58" i="5" s="1"/>
  <c r="Q58" i="5"/>
  <c r="O58" i="5"/>
  <c r="I58" i="5"/>
  <c r="C58" i="5"/>
  <c r="Z57" i="5"/>
  <c r="AA57" i="5" s="1"/>
  <c r="W57" i="5"/>
  <c r="X57" i="5" s="1"/>
  <c r="Q57" i="5"/>
  <c r="O57" i="5"/>
  <c r="I57" i="5"/>
  <c r="C57" i="5"/>
  <c r="Z56" i="5"/>
  <c r="AA56" i="5" s="1"/>
  <c r="W56" i="5"/>
  <c r="X56" i="5" s="1"/>
  <c r="Q56" i="5"/>
  <c r="O56" i="5"/>
  <c r="I56" i="5"/>
  <c r="C56" i="5"/>
  <c r="Z55" i="5"/>
  <c r="AA55" i="5" s="1"/>
  <c r="W55" i="5"/>
  <c r="X55" i="5" s="1"/>
  <c r="Q55" i="5"/>
  <c r="O55" i="5"/>
  <c r="I55" i="5"/>
  <c r="C55" i="5"/>
  <c r="Z54" i="5"/>
  <c r="AA54" i="5" s="1"/>
  <c r="W54" i="5"/>
  <c r="X54" i="5" s="1"/>
  <c r="Q54" i="5"/>
  <c r="O54" i="5"/>
  <c r="I54" i="5"/>
  <c r="C54" i="5"/>
  <c r="Z53" i="5"/>
  <c r="AA53" i="5" s="1"/>
  <c r="W53" i="5"/>
  <c r="X53" i="5" s="1"/>
  <c r="Q53" i="5"/>
  <c r="O53" i="5"/>
  <c r="I53" i="5"/>
  <c r="C53" i="5"/>
  <c r="Z52" i="5"/>
  <c r="AA52" i="5" s="1"/>
  <c r="W52" i="5"/>
  <c r="X52" i="5" s="1"/>
  <c r="Q52" i="5"/>
  <c r="O52" i="5"/>
  <c r="I52" i="5"/>
  <c r="C52" i="5"/>
  <c r="Z51" i="5"/>
  <c r="AA51" i="5" s="1"/>
  <c r="W51" i="5"/>
  <c r="X51" i="5" s="1"/>
  <c r="Q51" i="5"/>
  <c r="O51" i="5"/>
  <c r="I51" i="5"/>
  <c r="C51" i="5"/>
  <c r="Z50" i="5"/>
  <c r="AA50" i="5" s="1"/>
  <c r="W50" i="5"/>
  <c r="X50" i="5" s="1"/>
  <c r="Q50" i="5"/>
  <c r="O50" i="5"/>
  <c r="I50" i="5"/>
  <c r="C50" i="5"/>
  <c r="Z49" i="5"/>
  <c r="AA49" i="5" s="1"/>
  <c r="W49" i="5"/>
  <c r="X49" i="5" s="1"/>
  <c r="Q49" i="5"/>
  <c r="O49" i="5"/>
  <c r="I49" i="5"/>
  <c r="C49" i="5"/>
  <c r="Z48" i="5"/>
  <c r="AA48" i="5" s="1"/>
  <c r="W48" i="5"/>
  <c r="X48" i="5" s="1"/>
  <c r="Q48" i="5"/>
  <c r="O48" i="5"/>
  <c r="I48" i="5"/>
  <c r="C48" i="5"/>
  <c r="Z47" i="5"/>
  <c r="AA47" i="5" s="1"/>
  <c r="W47" i="5"/>
  <c r="X47" i="5" s="1"/>
  <c r="Q47" i="5"/>
  <c r="O47" i="5"/>
  <c r="I47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Z28" i="5"/>
  <c r="AA28" i="5" s="1"/>
  <c r="W28" i="5"/>
  <c r="X28" i="5" s="1"/>
  <c r="Q28" i="5"/>
  <c r="O28" i="5"/>
  <c r="I28" i="5"/>
  <c r="C28" i="5"/>
  <c r="Z27" i="5"/>
  <c r="AA27" i="5" s="1"/>
  <c r="W27" i="5"/>
  <c r="X27" i="5" s="1"/>
  <c r="Q27" i="5"/>
  <c r="O27" i="5"/>
  <c r="I27" i="5"/>
  <c r="C27" i="5"/>
  <c r="Z26" i="5"/>
  <c r="AA26" i="5" s="1"/>
  <c r="W26" i="5"/>
  <c r="X26" i="5" s="1"/>
  <c r="Q26" i="5"/>
  <c r="O26" i="5"/>
  <c r="I26" i="5"/>
  <c r="C26" i="5"/>
  <c r="Z25" i="5"/>
  <c r="AA25" i="5" s="1"/>
  <c r="W25" i="5"/>
  <c r="X25" i="5" s="1"/>
  <c r="Q25" i="5"/>
  <c r="O25" i="5"/>
  <c r="I25" i="5"/>
  <c r="C25" i="5"/>
  <c r="Z24" i="5"/>
  <c r="AA24" i="5" s="1"/>
  <c r="W24" i="5"/>
  <c r="X24" i="5" s="1"/>
  <c r="Q24" i="5"/>
  <c r="O24" i="5"/>
  <c r="I24" i="5"/>
  <c r="C24" i="5"/>
  <c r="Z23" i="5"/>
  <c r="AA23" i="5" s="1"/>
  <c r="W23" i="5"/>
  <c r="X23" i="5" s="1"/>
  <c r="Q23" i="5"/>
  <c r="O23" i="5"/>
  <c r="I23" i="5"/>
  <c r="C23" i="5"/>
  <c r="Z22" i="5"/>
  <c r="AA22" i="5" s="1"/>
  <c r="W22" i="5"/>
  <c r="X22" i="5" s="1"/>
  <c r="Q22" i="5"/>
  <c r="O22" i="5"/>
  <c r="I22" i="5"/>
  <c r="C22" i="5"/>
  <c r="C21" i="5"/>
  <c r="Z20" i="5"/>
  <c r="AA20" i="5" s="1"/>
  <c r="W20" i="5"/>
  <c r="X20" i="5" s="1"/>
  <c r="Q20" i="5"/>
  <c r="O20" i="5"/>
  <c r="I20" i="5"/>
  <c r="C20" i="5"/>
  <c r="Z19" i="5"/>
  <c r="AA19" i="5" s="1"/>
  <c r="W19" i="5"/>
  <c r="X19" i="5" s="1"/>
  <c r="Q19" i="5"/>
  <c r="O19" i="5"/>
  <c r="I19" i="5"/>
  <c r="C19" i="5"/>
  <c r="Z18" i="5"/>
  <c r="AA18" i="5" s="1"/>
  <c r="W18" i="5"/>
  <c r="X18" i="5" s="1"/>
  <c r="Q18" i="5"/>
  <c r="O18" i="5"/>
  <c r="I18" i="5"/>
  <c r="C18" i="5"/>
  <c r="Z17" i="5"/>
  <c r="AA17" i="5" s="1"/>
  <c r="W17" i="5"/>
  <c r="X17" i="5" s="1"/>
  <c r="Q17" i="5"/>
  <c r="O17" i="5"/>
  <c r="I17" i="5"/>
  <c r="C17" i="5"/>
  <c r="Z16" i="5"/>
  <c r="AA16" i="5" s="1"/>
  <c r="W16" i="5"/>
  <c r="X16" i="5" s="1"/>
  <c r="Q16" i="5"/>
  <c r="O16" i="5"/>
  <c r="I16" i="5"/>
  <c r="C16" i="5"/>
  <c r="Z15" i="5"/>
  <c r="AA15" i="5" s="1"/>
  <c r="W15" i="5"/>
  <c r="X15" i="5" s="1"/>
  <c r="Q15" i="5"/>
  <c r="O15" i="5"/>
  <c r="I15" i="5"/>
  <c r="C15" i="5"/>
  <c r="Z14" i="5"/>
  <c r="AA14" i="5" s="1"/>
  <c r="W14" i="5"/>
  <c r="X14" i="5" s="1"/>
  <c r="Q14" i="5"/>
  <c r="O14" i="5"/>
  <c r="I14" i="5"/>
  <c r="C14" i="5"/>
  <c r="Z13" i="5"/>
  <c r="AA13" i="5" s="1"/>
  <c r="W13" i="5"/>
  <c r="X13" i="5" s="1"/>
  <c r="Q13" i="5"/>
  <c r="O13" i="5"/>
  <c r="I13" i="5"/>
  <c r="C13" i="5"/>
  <c r="C12" i="5"/>
  <c r="Z11" i="5"/>
  <c r="AA11" i="5" s="1"/>
  <c r="W11" i="5"/>
  <c r="X11" i="5" s="1"/>
  <c r="Q11" i="5"/>
  <c r="O11" i="5"/>
  <c r="I11" i="5"/>
  <c r="C11" i="5"/>
  <c r="Z10" i="5"/>
  <c r="AA10" i="5" s="1"/>
  <c r="W10" i="5"/>
  <c r="X10" i="5" s="1"/>
  <c r="Q10" i="5"/>
  <c r="O10" i="5"/>
  <c r="I10" i="5"/>
  <c r="C10" i="5"/>
  <c r="Z9" i="5"/>
  <c r="AA9" i="5" s="1"/>
  <c r="W9" i="5"/>
  <c r="X9" i="5" s="1"/>
  <c r="Q9" i="5"/>
  <c r="O9" i="5"/>
  <c r="C9" i="5"/>
  <c r="Z8" i="5"/>
  <c r="AA8" i="5" s="1"/>
  <c r="W8" i="5"/>
  <c r="X8" i="5" s="1"/>
  <c r="Q8" i="5"/>
  <c r="O8" i="5"/>
  <c r="C8" i="5"/>
  <c r="Z7" i="5"/>
  <c r="AA7" i="5" s="1"/>
  <c r="W7" i="5"/>
  <c r="X7" i="5" s="1"/>
  <c r="Q7" i="5"/>
  <c r="O7" i="5"/>
  <c r="C7" i="5"/>
  <c r="C6" i="5"/>
  <c r="Z5" i="5"/>
  <c r="AA5" i="5" s="1"/>
  <c r="W5" i="5"/>
  <c r="X5" i="5" s="1"/>
  <c r="Q5" i="5"/>
  <c r="O5" i="5"/>
  <c r="I5" i="5"/>
  <c r="C5" i="5"/>
  <c r="Z4" i="5"/>
  <c r="AA4" i="5" s="1"/>
  <c r="W4" i="5"/>
  <c r="X4" i="5" s="1"/>
  <c r="Q4" i="5"/>
  <c r="O4" i="5"/>
  <c r="I4" i="5"/>
  <c r="C4" i="5"/>
  <c r="Z3" i="5"/>
  <c r="AA3" i="5" s="1"/>
  <c r="W3" i="5"/>
  <c r="X3" i="5" s="1"/>
  <c r="Q3" i="5"/>
  <c r="O3" i="5"/>
  <c r="I3" i="5"/>
  <c r="C3" i="5"/>
  <c r="C2" i="5"/>
  <c r="AE29" i="4"/>
  <c r="AE30" i="4"/>
  <c r="AE31" i="4"/>
  <c r="AE32" i="4"/>
  <c r="AE33" i="4"/>
  <c r="AF33" i="4" s="1"/>
  <c r="AE34" i="4"/>
  <c r="AF34" i="4" s="1"/>
  <c r="AE35" i="4"/>
  <c r="AF35" i="4" s="1"/>
  <c r="AE36" i="4"/>
  <c r="AF36" i="4" s="1"/>
  <c r="AE37" i="4"/>
  <c r="AF37" i="4" s="1"/>
  <c r="AE38" i="4"/>
  <c r="AF38" i="4" s="1"/>
  <c r="AE39" i="4"/>
  <c r="AF39" i="4" s="1"/>
  <c r="AE40" i="4"/>
  <c r="AF40" i="4" s="1"/>
  <c r="AE41" i="4"/>
  <c r="AF41" i="4" s="1"/>
  <c r="AE42" i="4"/>
  <c r="AF42" i="4" s="1"/>
  <c r="AE43" i="4"/>
  <c r="AF43" i="4" s="1"/>
  <c r="AE44" i="4"/>
  <c r="AF44" i="4" s="1"/>
  <c r="AE45" i="4"/>
  <c r="AF45" i="4" s="1"/>
  <c r="AE46" i="4"/>
  <c r="AF46" i="4" s="1"/>
  <c r="Q109" i="4"/>
  <c r="O109" i="4"/>
  <c r="I109" i="4"/>
  <c r="C109" i="4"/>
  <c r="Z108" i="4"/>
  <c r="AA108" i="4" s="1"/>
  <c r="W108" i="4"/>
  <c r="X108" i="4" s="1"/>
  <c r="Q108" i="4"/>
  <c r="O108" i="4"/>
  <c r="I108" i="4"/>
  <c r="C108" i="4"/>
  <c r="Z107" i="4"/>
  <c r="AA107" i="4" s="1"/>
  <c r="W107" i="4"/>
  <c r="X107" i="4" s="1"/>
  <c r="Q107" i="4"/>
  <c r="O107" i="4"/>
  <c r="I107" i="4"/>
  <c r="C107" i="4"/>
  <c r="Z106" i="4"/>
  <c r="AA106" i="4" s="1"/>
  <c r="W106" i="4"/>
  <c r="X106" i="4" s="1"/>
  <c r="Q106" i="4"/>
  <c r="O106" i="4"/>
  <c r="I106" i="4"/>
  <c r="C106" i="4"/>
  <c r="Z105" i="4"/>
  <c r="AA105" i="4" s="1"/>
  <c r="W105" i="4"/>
  <c r="X105" i="4" s="1"/>
  <c r="Q105" i="4"/>
  <c r="O105" i="4"/>
  <c r="I105" i="4"/>
  <c r="C105" i="4"/>
  <c r="Z104" i="4"/>
  <c r="AA104" i="4" s="1"/>
  <c r="W104" i="4"/>
  <c r="X104" i="4" s="1"/>
  <c r="Q104" i="4"/>
  <c r="O104" i="4"/>
  <c r="I104" i="4"/>
  <c r="C104" i="4"/>
  <c r="Z103" i="4"/>
  <c r="AA103" i="4" s="1"/>
  <c r="W103" i="4"/>
  <c r="X103" i="4" s="1"/>
  <c r="Q103" i="4"/>
  <c r="O103" i="4"/>
  <c r="I103" i="4"/>
  <c r="C103" i="4"/>
  <c r="Z102" i="4"/>
  <c r="AA102" i="4" s="1"/>
  <c r="W102" i="4"/>
  <c r="X102" i="4" s="1"/>
  <c r="Q102" i="4"/>
  <c r="O102" i="4"/>
  <c r="I102" i="4"/>
  <c r="C102" i="4"/>
  <c r="Z101" i="4"/>
  <c r="AA101" i="4" s="1"/>
  <c r="W101" i="4"/>
  <c r="X101" i="4" s="1"/>
  <c r="Q101" i="4"/>
  <c r="O101" i="4"/>
  <c r="I101" i="4"/>
  <c r="C101" i="4"/>
  <c r="Z100" i="4"/>
  <c r="AA100" i="4" s="1"/>
  <c r="W100" i="4"/>
  <c r="X100" i="4" s="1"/>
  <c r="Q100" i="4"/>
  <c r="O100" i="4"/>
  <c r="I100" i="4"/>
  <c r="C100" i="4"/>
  <c r="Z99" i="4"/>
  <c r="AA99" i="4" s="1"/>
  <c r="W99" i="4"/>
  <c r="X99" i="4" s="1"/>
  <c r="Q99" i="4"/>
  <c r="O99" i="4"/>
  <c r="I99" i="4"/>
  <c r="C99" i="4"/>
  <c r="Z98" i="4"/>
  <c r="AA98" i="4" s="1"/>
  <c r="W98" i="4"/>
  <c r="X98" i="4" s="1"/>
  <c r="Q98" i="4"/>
  <c r="O98" i="4"/>
  <c r="I98" i="4"/>
  <c r="C98" i="4"/>
  <c r="Z97" i="4"/>
  <c r="AA97" i="4" s="1"/>
  <c r="W97" i="4"/>
  <c r="X97" i="4" s="1"/>
  <c r="Q97" i="4"/>
  <c r="O97" i="4"/>
  <c r="I97" i="4"/>
  <c r="C97" i="4"/>
  <c r="Z96" i="4"/>
  <c r="AA96" i="4" s="1"/>
  <c r="W96" i="4"/>
  <c r="X96" i="4" s="1"/>
  <c r="Q96" i="4"/>
  <c r="O96" i="4"/>
  <c r="I96" i="4"/>
  <c r="C96" i="4"/>
  <c r="Z95" i="4"/>
  <c r="AA95" i="4" s="1"/>
  <c r="W95" i="4"/>
  <c r="X95" i="4" s="1"/>
  <c r="Q95" i="4"/>
  <c r="O95" i="4"/>
  <c r="I95" i="4"/>
  <c r="C95" i="4"/>
  <c r="Z94" i="4"/>
  <c r="AA94" i="4" s="1"/>
  <c r="W94" i="4"/>
  <c r="X94" i="4" s="1"/>
  <c r="Q94" i="4"/>
  <c r="O94" i="4"/>
  <c r="I94" i="4"/>
  <c r="C94" i="4"/>
  <c r="Z93" i="4"/>
  <c r="AA93" i="4" s="1"/>
  <c r="W93" i="4"/>
  <c r="X93" i="4" s="1"/>
  <c r="Q93" i="4"/>
  <c r="O93" i="4"/>
  <c r="I93" i="4"/>
  <c r="C93" i="4"/>
  <c r="Z92" i="4"/>
  <c r="AA92" i="4" s="1"/>
  <c r="W92" i="4"/>
  <c r="X92" i="4" s="1"/>
  <c r="Q92" i="4"/>
  <c r="O92" i="4"/>
  <c r="I92" i="4"/>
  <c r="C92" i="4"/>
  <c r="Z91" i="4"/>
  <c r="AA91" i="4" s="1"/>
  <c r="W91" i="4"/>
  <c r="X91" i="4" s="1"/>
  <c r="Q91" i="4"/>
  <c r="O91" i="4"/>
  <c r="I91" i="4"/>
  <c r="C91" i="4"/>
  <c r="Z90" i="4"/>
  <c r="AA90" i="4" s="1"/>
  <c r="W90" i="4"/>
  <c r="X90" i="4" s="1"/>
  <c r="Q90" i="4"/>
  <c r="O90" i="4"/>
  <c r="I90" i="4"/>
  <c r="C90" i="4"/>
  <c r="Z89" i="4"/>
  <c r="AA89" i="4" s="1"/>
  <c r="W89" i="4"/>
  <c r="X89" i="4" s="1"/>
  <c r="Q89" i="4"/>
  <c r="O89" i="4"/>
  <c r="I89" i="4"/>
  <c r="C89" i="4"/>
  <c r="Z88" i="4"/>
  <c r="AA88" i="4" s="1"/>
  <c r="W88" i="4"/>
  <c r="X88" i="4" s="1"/>
  <c r="Q88" i="4"/>
  <c r="O88" i="4"/>
  <c r="I88" i="4"/>
  <c r="C88" i="4"/>
  <c r="Z87" i="4"/>
  <c r="AA87" i="4" s="1"/>
  <c r="W87" i="4"/>
  <c r="X87" i="4" s="1"/>
  <c r="Q87" i="4"/>
  <c r="O87" i="4"/>
  <c r="I87" i="4"/>
  <c r="C87" i="4"/>
  <c r="Z86" i="4"/>
  <c r="AA86" i="4" s="1"/>
  <c r="W86" i="4"/>
  <c r="X86" i="4" s="1"/>
  <c r="Q86" i="4"/>
  <c r="O86" i="4"/>
  <c r="I86" i="4"/>
  <c r="C86" i="4"/>
  <c r="Z85" i="4"/>
  <c r="AA85" i="4" s="1"/>
  <c r="W85" i="4"/>
  <c r="X85" i="4" s="1"/>
  <c r="Q85" i="4"/>
  <c r="O85" i="4"/>
  <c r="I85" i="4"/>
  <c r="C85" i="4"/>
  <c r="Z84" i="4"/>
  <c r="AA84" i="4" s="1"/>
  <c r="W84" i="4"/>
  <c r="X84" i="4" s="1"/>
  <c r="Q84" i="4"/>
  <c r="O84" i="4"/>
  <c r="I84" i="4"/>
  <c r="C84" i="4"/>
  <c r="Z83" i="4"/>
  <c r="AA83" i="4" s="1"/>
  <c r="W83" i="4"/>
  <c r="X83" i="4" s="1"/>
  <c r="Q83" i="4"/>
  <c r="O83" i="4"/>
  <c r="I83" i="4"/>
  <c r="C83" i="4"/>
  <c r="Z82" i="4"/>
  <c r="AA82" i="4" s="1"/>
  <c r="W82" i="4"/>
  <c r="X82" i="4" s="1"/>
  <c r="Q82" i="4"/>
  <c r="O82" i="4"/>
  <c r="I82" i="4"/>
  <c r="C82" i="4"/>
  <c r="Z81" i="4"/>
  <c r="AA81" i="4" s="1"/>
  <c r="W81" i="4"/>
  <c r="X81" i="4" s="1"/>
  <c r="Q81" i="4"/>
  <c r="O81" i="4"/>
  <c r="I81" i="4"/>
  <c r="C81" i="4"/>
  <c r="Z80" i="4"/>
  <c r="AA80" i="4" s="1"/>
  <c r="W80" i="4"/>
  <c r="X80" i="4" s="1"/>
  <c r="Q80" i="4"/>
  <c r="O80" i="4"/>
  <c r="I80" i="4"/>
  <c r="C80" i="4"/>
  <c r="Z79" i="4"/>
  <c r="AA79" i="4" s="1"/>
  <c r="W79" i="4"/>
  <c r="X79" i="4" s="1"/>
  <c r="Q79" i="4"/>
  <c r="O79" i="4"/>
  <c r="I79" i="4"/>
  <c r="C79" i="4"/>
  <c r="Z78" i="4"/>
  <c r="AA78" i="4" s="1"/>
  <c r="W78" i="4"/>
  <c r="X78" i="4" s="1"/>
  <c r="Q78" i="4"/>
  <c r="O78" i="4"/>
  <c r="I78" i="4"/>
  <c r="C78" i="4"/>
  <c r="Z77" i="4"/>
  <c r="AA77" i="4" s="1"/>
  <c r="W77" i="4"/>
  <c r="X77" i="4" s="1"/>
  <c r="Q77" i="4"/>
  <c r="O77" i="4"/>
  <c r="I77" i="4"/>
  <c r="C77" i="4"/>
  <c r="Z76" i="4"/>
  <c r="AA76" i="4" s="1"/>
  <c r="W76" i="4"/>
  <c r="X76" i="4" s="1"/>
  <c r="Q76" i="4"/>
  <c r="O76" i="4"/>
  <c r="I76" i="4"/>
  <c r="C76" i="4"/>
  <c r="Z75" i="4"/>
  <c r="AA75" i="4" s="1"/>
  <c r="W75" i="4"/>
  <c r="X75" i="4" s="1"/>
  <c r="Q75" i="4"/>
  <c r="O75" i="4"/>
  <c r="I75" i="4"/>
  <c r="C75" i="4"/>
  <c r="Z74" i="4"/>
  <c r="AA74" i="4" s="1"/>
  <c r="W74" i="4"/>
  <c r="X74" i="4" s="1"/>
  <c r="Q74" i="4"/>
  <c r="O74" i="4"/>
  <c r="I74" i="4"/>
  <c r="C74" i="4"/>
  <c r="Z73" i="4"/>
  <c r="AA73" i="4" s="1"/>
  <c r="W73" i="4"/>
  <c r="X73" i="4" s="1"/>
  <c r="Q73" i="4"/>
  <c r="O73" i="4"/>
  <c r="I73" i="4"/>
  <c r="C73" i="4"/>
  <c r="Z72" i="4"/>
  <c r="AA72" i="4" s="1"/>
  <c r="W72" i="4"/>
  <c r="X72" i="4" s="1"/>
  <c r="Q72" i="4"/>
  <c r="O72" i="4"/>
  <c r="I72" i="4"/>
  <c r="C72" i="4"/>
  <c r="Z71" i="4"/>
  <c r="AA71" i="4" s="1"/>
  <c r="W71" i="4"/>
  <c r="X71" i="4" s="1"/>
  <c r="Q71" i="4"/>
  <c r="O71" i="4"/>
  <c r="I71" i="4"/>
  <c r="C71" i="4"/>
  <c r="Z70" i="4"/>
  <c r="AA70" i="4" s="1"/>
  <c r="W70" i="4"/>
  <c r="X70" i="4" s="1"/>
  <c r="Q70" i="4"/>
  <c r="O70" i="4"/>
  <c r="I70" i="4"/>
  <c r="C70" i="4"/>
  <c r="Z69" i="4"/>
  <c r="AA69" i="4" s="1"/>
  <c r="W69" i="4"/>
  <c r="X69" i="4" s="1"/>
  <c r="Q69" i="4"/>
  <c r="O69" i="4"/>
  <c r="I69" i="4"/>
  <c r="C69" i="4"/>
  <c r="Z68" i="4"/>
  <c r="AA68" i="4" s="1"/>
  <c r="W68" i="4"/>
  <c r="X68" i="4" s="1"/>
  <c r="Q68" i="4"/>
  <c r="O68" i="4"/>
  <c r="I68" i="4"/>
  <c r="C68" i="4"/>
  <c r="Z67" i="4"/>
  <c r="AA67" i="4" s="1"/>
  <c r="W67" i="4"/>
  <c r="X67" i="4" s="1"/>
  <c r="Q67" i="4"/>
  <c r="O67" i="4"/>
  <c r="I67" i="4"/>
  <c r="C67" i="4"/>
  <c r="Z66" i="4"/>
  <c r="AA66" i="4" s="1"/>
  <c r="W66" i="4"/>
  <c r="X66" i="4" s="1"/>
  <c r="Q66" i="4"/>
  <c r="O66" i="4"/>
  <c r="I66" i="4"/>
  <c r="C66" i="4"/>
  <c r="Z65" i="4"/>
  <c r="AA65" i="4" s="1"/>
  <c r="W65" i="4"/>
  <c r="X65" i="4" s="1"/>
  <c r="Q65" i="4"/>
  <c r="O65" i="4"/>
  <c r="I65" i="4"/>
  <c r="C65" i="4"/>
  <c r="Z64" i="4"/>
  <c r="AA64" i="4" s="1"/>
  <c r="W64" i="4"/>
  <c r="X64" i="4" s="1"/>
  <c r="Q64" i="4"/>
  <c r="O64" i="4"/>
  <c r="I64" i="4"/>
  <c r="C64" i="4"/>
  <c r="Z63" i="4"/>
  <c r="AA63" i="4" s="1"/>
  <c r="W63" i="4"/>
  <c r="X63" i="4" s="1"/>
  <c r="Q63" i="4"/>
  <c r="O63" i="4"/>
  <c r="I63" i="4"/>
  <c r="C63" i="4"/>
  <c r="Z62" i="4"/>
  <c r="AA62" i="4" s="1"/>
  <c r="W62" i="4"/>
  <c r="X62" i="4" s="1"/>
  <c r="Q62" i="4"/>
  <c r="O62" i="4"/>
  <c r="I62" i="4"/>
  <c r="C62" i="4"/>
  <c r="Z61" i="4"/>
  <c r="AA61" i="4" s="1"/>
  <c r="W61" i="4"/>
  <c r="X61" i="4" s="1"/>
  <c r="Q61" i="4"/>
  <c r="O61" i="4"/>
  <c r="I61" i="4"/>
  <c r="C61" i="4"/>
  <c r="Z60" i="4"/>
  <c r="AA60" i="4" s="1"/>
  <c r="W60" i="4"/>
  <c r="X60" i="4" s="1"/>
  <c r="Q60" i="4"/>
  <c r="O60" i="4"/>
  <c r="I60" i="4"/>
  <c r="C60" i="4"/>
  <c r="Z59" i="4"/>
  <c r="AA59" i="4" s="1"/>
  <c r="W59" i="4"/>
  <c r="X59" i="4" s="1"/>
  <c r="Q59" i="4"/>
  <c r="O59" i="4"/>
  <c r="I59" i="4"/>
  <c r="C59" i="4"/>
  <c r="Z58" i="4"/>
  <c r="AA58" i="4" s="1"/>
  <c r="W58" i="4"/>
  <c r="X58" i="4" s="1"/>
  <c r="Q58" i="4"/>
  <c r="O58" i="4"/>
  <c r="I58" i="4"/>
  <c r="C58" i="4"/>
  <c r="Z57" i="4"/>
  <c r="AA57" i="4" s="1"/>
  <c r="W57" i="4"/>
  <c r="X57" i="4" s="1"/>
  <c r="Q57" i="4"/>
  <c r="O57" i="4"/>
  <c r="I57" i="4"/>
  <c r="C57" i="4"/>
  <c r="Z56" i="4"/>
  <c r="AA56" i="4" s="1"/>
  <c r="W56" i="4"/>
  <c r="X56" i="4" s="1"/>
  <c r="Q56" i="4"/>
  <c r="O56" i="4"/>
  <c r="I56" i="4"/>
  <c r="C56" i="4"/>
  <c r="Z55" i="4"/>
  <c r="AA55" i="4" s="1"/>
  <c r="W55" i="4"/>
  <c r="X55" i="4" s="1"/>
  <c r="Q55" i="4"/>
  <c r="O55" i="4"/>
  <c r="I55" i="4"/>
  <c r="C55" i="4"/>
  <c r="Z54" i="4"/>
  <c r="AA54" i="4" s="1"/>
  <c r="W54" i="4"/>
  <c r="X54" i="4" s="1"/>
  <c r="Q54" i="4"/>
  <c r="O54" i="4"/>
  <c r="I54" i="4"/>
  <c r="C54" i="4"/>
  <c r="Z53" i="4"/>
  <c r="AA53" i="4" s="1"/>
  <c r="W53" i="4"/>
  <c r="X53" i="4" s="1"/>
  <c r="Q53" i="4"/>
  <c r="O53" i="4"/>
  <c r="I53" i="4"/>
  <c r="C53" i="4"/>
  <c r="Z52" i="4"/>
  <c r="AA52" i="4" s="1"/>
  <c r="W52" i="4"/>
  <c r="X52" i="4" s="1"/>
  <c r="Q52" i="4"/>
  <c r="O52" i="4"/>
  <c r="I52" i="4"/>
  <c r="C52" i="4"/>
  <c r="Z51" i="4"/>
  <c r="AA51" i="4" s="1"/>
  <c r="W51" i="4"/>
  <c r="X51" i="4" s="1"/>
  <c r="Q51" i="4"/>
  <c r="O51" i="4"/>
  <c r="I51" i="4"/>
  <c r="C51" i="4"/>
  <c r="Z50" i="4"/>
  <c r="AA50" i="4" s="1"/>
  <c r="W50" i="4"/>
  <c r="X50" i="4" s="1"/>
  <c r="Q50" i="4"/>
  <c r="O50" i="4"/>
  <c r="I50" i="4"/>
  <c r="C50" i="4"/>
  <c r="Z49" i="4"/>
  <c r="AA49" i="4" s="1"/>
  <c r="W49" i="4"/>
  <c r="X49" i="4" s="1"/>
  <c r="Q49" i="4"/>
  <c r="O49" i="4"/>
  <c r="I49" i="4"/>
  <c r="C49" i="4"/>
  <c r="Z48" i="4"/>
  <c r="AA48" i="4" s="1"/>
  <c r="W48" i="4"/>
  <c r="X48" i="4" s="1"/>
  <c r="Q48" i="4"/>
  <c r="O48" i="4"/>
  <c r="I48" i="4"/>
  <c r="C48" i="4"/>
  <c r="Z47" i="4"/>
  <c r="AA47" i="4" s="1"/>
  <c r="W47" i="4"/>
  <c r="X47" i="4" s="1"/>
  <c r="Q47" i="4"/>
  <c r="O47" i="4"/>
  <c r="I47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AF32" i="4"/>
  <c r="C32" i="4"/>
  <c r="AF31" i="4"/>
  <c r="C31" i="4"/>
  <c r="AF30" i="4"/>
  <c r="C30" i="4"/>
  <c r="AF29" i="4"/>
  <c r="C29" i="4"/>
  <c r="Z28" i="4"/>
  <c r="AA28" i="4" s="1"/>
  <c r="W28" i="4"/>
  <c r="X28" i="4" s="1"/>
  <c r="Q28" i="4"/>
  <c r="O28" i="4"/>
  <c r="I28" i="4"/>
  <c r="C28" i="4"/>
  <c r="Z27" i="4"/>
  <c r="AA27" i="4" s="1"/>
  <c r="W27" i="4"/>
  <c r="X27" i="4" s="1"/>
  <c r="Q27" i="4"/>
  <c r="O27" i="4"/>
  <c r="I27" i="4"/>
  <c r="C27" i="4"/>
  <c r="Z26" i="4"/>
  <c r="AA26" i="4" s="1"/>
  <c r="W26" i="4"/>
  <c r="X26" i="4" s="1"/>
  <c r="Q26" i="4"/>
  <c r="O26" i="4"/>
  <c r="I26" i="4"/>
  <c r="C26" i="4"/>
  <c r="Z25" i="4"/>
  <c r="AA25" i="4" s="1"/>
  <c r="W25" i="4"/>
  <c r="X25" i="4" s="1"/>
  <c r="Q25" i="4"/>
  <c r="O25" i="4"/>
  <c r="I25" i="4"/>
  <c r="C25" i="4"/>
  <c r="Z24" i="4"/>
  <c r="AA24" i="4" s="1"/>
  <c r="W24" i="4"/>
  <c r="X24" i="4" s="1"/>
  <c r="Q24" i="4"/>
  <c r="O24" i="4"/>
  <c r="I24" i="4"/>
  <c r="C24" i="4"/>
  <c r="Z23" i="4"/>
  <c r="AA23" i="4" s="1"/>
  <c r="W23" i="4"/>
  <c r="X23" i="4" s="1"/>
  <c r="Q23" i="4"/>
  <c r="O23" i="4"/>
  <c r="I23" i="4"/>
  <c r="C23" i="4"/>
  <c r="Z22" i="4"/>
  <c r="AA22" i="4" s="1"/>
  <c r="W22" i="4"/>
  <c r="X22" i="4" s="1"/>
  <c r="Q22" i="4"/>
  <c r="O22" i="4"/>
  <c r="I22" i="4"/>
  <c r="C22" i="4"/>
  <c r="C21" i="4"/>
  <c r="Z20" i="4"/>
  <c r="AA20" i="4" s="1"/>
  <c r="W20" i="4"/>
  <c r="X20" i="4" s="1"/>
  <c r="Q20" i="4"/>
  <c r="O20" i="4"/>
  <c r="I20" i="4"/>
  <c r="C20" i="4"/>
  <c r="Z19" i="4"/>
  <c r="AA19" i="4" s="1"/>
  <c r="W19" i="4"/>
  <c r="X19" i="4" s="1"/>
  <c r="Q19" i="4"/>
  <c r="O19" i="4"/>
  <c r="I19" i="4"/>
  <c r="C19" i="4"/>
  <c r="Z18" i="4"/>
  <c r="AA18" i="4" s="1"/>
  <c r="W18" i="4"/>
  <c r="X18" i="4" s="1"/>
  <c r="Q18" i="4"/>
  <c r="O18" i="4"/>
  <c r="I18" i="4"/>
  <c r="C18" i="4"/>
  <c r="Z17" i="4"/>
  <c r="AA17" i="4" s="1"/>
  <c r="W17" i="4"/>
  <c r="X17" i="4" s="1"/>
  <c r="Q17" i="4"/>
  <c r="O17" i="4"/>
  <c r="I17" i="4"/>
  <c r="C17" i="4"/>
  <c r="Z16" i="4"/>
  <c r="AA16" i="4" s="1"/>
  <c r="W16" i="4"/>
  <c r="X16" i="4" s="1"/>
  <c r="Q16" i="4"/>
  <c r="O16" i="4"/>
  <c r="I16" i="4"/>
  <c r="C16" i="4"/>
  <c r="Z15" i="4"/>
  <c r="AA15" i="4" s="1"/>
  <c r="W15" i="4"/>
  <c r="X15" i="4" s="1"/>
  <c r="Q15" i="4"/>
  <c r="O15" i="4"/>
  <c r="I15" i="4"/>
  <c r="C15" i="4"/>
  <c r="Z14" i="4"/>
  <c r="AA14" i="4" s="1"/>
  <c r="W14" i="4"/>
  <c r="X14" i="4" s="1"/>
  <c r="Q14" i="4"/>
  <c r="O14" i="4"/>
  <c r="I14" i="4"/>
  <c r="C14" i="4"/>
  <c r="Z13" i="4"/>
  <c r="AA13" i="4" s="1"/>
  <c r="W13" i="4"/>
  <c r="X13" i="4" s="1"/>
  <c r="Q13" i="4"/>
  <c r="O13" i="4"/>
  <c r="I13" i="4"/>
  <c r="C13" i="4"/>
  <c r="C12" i="4"/>
  <c r="Z11" i="4"/>
  <c r="AA11" i="4" s="1"/>
  <c r="W11" i="4"/>
  <c r="X11" i="4" s="1"/>
  <c r="Q11" i="4"/>
  <c r="O11" i="4"/>
  <c r="I11" i="4"/>
  <c r="C11" i="4"/>
  <c r="Z10" i="4"/>
  <c r="AA10" i="4" s="1"/>
  <c r="W10" i="4"/>
  <c r="X10" i="4" s="1"/>
  <c r="Q10" i="4"/>
  <c r="O10" i="4"/>
  <c r="I10" i="4"/>
  <c r="C10" i="4"/>
  <c r="Z9" i="4"/>
  <c r="AA9" i="4" s="1"/>
  <c r="W9" i="4"/>
  <c r="X9" i="4" s="1"/>
  <c r="Q9" i="4"/>
  <c r="O9" i="4"/>
  <c r="C9" i="4"/>
  <c r="Z8" i="4"/>
  <c r="AA8" i="4" s="1"/>
  <c r="W8" i="4"/>
  <c r="X8" i="4" s="1"/>
  <c r="Q8" i="4"/>
  <c r="O8" i="4"/>
  <c r="C8" i="4"/>
  <c r="Z7" i="4"/>
  <c r="AA7" i="4" s="1"/>
  <c r="W7" i="4"/>
  <c r="X7" i="4" s="1"/>
  <c r="Q7" i="4"/>
  <c r="O7" i="4"/>
  <c r="C7" i="4"/>
  <c r="C6" i="4"/>
  <c r="Z5" i="4"/>
  <c r="AA5" i="4" s="1"/>
  <c r="W5" i="4"/>
  <c r="X5" i="4" s="1"/>
  <c r="Q5" i="4"/>
  <c r="O5" i="4"/>
  <c r="I5" i="4"/>
  <c r="C5" i="4"/>
  <c r="Z4" i="4"/>
  <c r="AA4" i="4" s="1"/>
  <c r="W4" i="4"/>
  <c r="X4" i="4" s="1"/>
  <c r="Q4" i="4"/>
  <c r="O4" i="4"/>
  <c r="I4" i="4"/>
  <c r="C4" i="4"/>
  <c r="Z3" i="4"/>
  <c r="AA3" i="4" s="1"/>
  <c r="W3" i="4"/>
  <c r="X3" i="4" s="1"/>
  <c r="Q3" i="4"/>
  <c r="O3" i="4"/>
  <c r="I3" i="4"/>
  <c r="C3" i="4"/>
  <c r="C2" i="4"/>
  <c r="I3" i="2"/>
  <c r="AE3" i="2" s="1"/>
  <c r="R109" i="2"/>
  <c r="P109" i="2"/>
  <c r="I109" i="2"/>
  <c r="C109" i="2"/>
  <c r="AA108" i="2"/>
  <c r="AB108" i="2" s="1"/>
  <c r="X108" i="2"/>
  <c r="Y108" i="2" s="1"/>
  <c r="R108" i="2"/>
  <c r="P108" i="2"/>
  <c r="I108" i="2"/>
  <c r="AE108" i="2" s="1"/>
  <c r="C108" i="2"/>
  <c r="AA107" i="2"/>
  <c r="AB107" i="2" s="1"/>
  <c r="X107" i="2"/>
  <c r="Y107" i="2" s="1"/>
  <c r="R107" i="2"/>
  <c r="P107" i="2"/>
  <c r="I107" i="2"/>
  <c r="AE107" i="2" s="1"/>
  <c r="C107" i="2"/>
  <c r="AA106" i="2"/>
  <c r="AB106" i="2" s="1"/>
  <c r="X106" i="2"/>
  <c r="Y106" i="2" s="1"/>
  <c r="R106" i="2"/>
  <c r="P106" i="2"/>
  <c r="I106" i="2"/>
  <c r="AE106" i="2" s="1"/>
  <c r="C106" i="2"/>
  <c r="AA105" i="2"/>
  <c r="AB105" i="2" s="1"/>
  <c r="X105" i="2"/>
  <c r="Y105" i="2" s="1"/>
  <c r="R105" i="2"/>
  <c r="P105" i="2"/>
  <c r="I105" i="2"/>
  <c r="AE105" i="2" s="1"/>
  <c r="C105" i="2"/>
  <c r="AA104" i="2"/>
  <c r="AB104" i="2" s="1"/>
  <c r="X104" i="2"/>
  <c r="Y104" i="2" s="1"/>
  <c r="R104" i="2"/>
  <c r="P104" i="2"/>
  <c r="I104" i="2"/>
  <c r="AE104" i="2" s="1"/>
  <c r="C104" i="2"/>
  <c r="AA103" i="2"/>
  <c r="AB103" i="2" s="1"/>
  <c r="X103" i="2"/>
  <c r="Y103" i="2" s="1"/>
  <c r="R103" i="2"/>
  <c r="P103" i="2"/>
  <c r="I103" i="2"/>
  <c r="AE103" i="2" s="1"/>
  <c r="C103" i="2"/>
  <c r="AA102" i="2"/>
  <c r="AB102" i="2" s="1"/>
  <c r="X102" i="2"/>
  <c r="Y102" i="2" s="1"/>
  <c r="R102" i="2"/>
  <c r="P102" i="2"/>
  <c r="I102" i="2"/>
  <c r="AE102" i="2" s="1"/>
  <c r="C102" i="2"/>
  <c r="AA101" i="2"/>
  <c r="AB101" i="2" s="1"/>
  <c r="X101" i="2"/>
  <c r="Y101" i="2" s="1"/>
  <c r="R101" i="2"/>
  <c r="P101" i="2"/>
  <c r="I101" i="2"/>
  <c r="AE101" i="2" s="1"/>
  <c r="C101" i="2"/>
  <c r="AA97" i="2"/>
  <c r="AB97" i="2" s="1"/>
  <c r="X97" i="2"/>
  <c r="Y97" i="2" s="1"/>
  <c r="R97" i="2"/>
  <c r="P97" i="2"/>
  <c r="I97" i="2"/>
  <c r="AE97" i="2" s="1"/>
  <c r="C97" i="2"/>
  <c r="AA96" i="2"/>
  <c r="AB96" i="2" s="1"/>
  <c r="X96" i="2"/>
  <c r="Y96" i="2" s="1"/>
  <c r="R96" i="2"/>
  <c r="P96" i="2"/>
  <c r="I96" i="2"/>
  <c r="AE96" i="2" s="1"/>
  <c r="C96" i="2"/>
  <c r="AA95" i="2"/>
  <c r="AB95" i="2" s="1"/>
  <c r="X95" i="2"/>
  <c r="Y95" i="2" s="1"/>
  <c r="R95" i="2"/>
  <c r="P95" i="2"/>
  <c r="I95" i="2"/>
  <c r="AE95" i="2" s="1"/>
  <c r="C95" i="2"/>
  <c r="AA94" i="2"/>
  <c r="AB94" i="2" s="1"/>
  <c r="X94" i="2"/>
  <c r="Y94" i="2" s="1"/>
  <c r="R94" i="2"/>
  <c r="P94" i="2"/>
  <c r="I94" i="2"/>
  <c r="AE94" i="2" s="1"/>
  <c r="C94" i="2"/>
  <c r="AA93" i="2"/>
  <c r="AB93" i="2" s="1"/>
  <c r="X93" i="2"/>
  <c r="Y93" i="2" s="1"/>
  <c r="R93" i="2"/>
  <c r="P93" i="2"/>
  <c r="I93" i="2"/>
  <c r="AE93" i="2" s="1"/>
  <c r="C93" i="2"/>
  <c r="AA92" i="2"/>
  <c r="AB92" i="2" s="1"/>
  <c r="X92" i="2"/>
  <c r="Y92" i="2" s="1"/>
  <c r="R92" i="2"/>
  <c r="P92" i="2"/>
  <c r="I92" i="2"/>
  <c r="AE92" i="2" s="1"/>
  <c r="C92" i="2"/>
  <c r="AA91" i="2"/>
  <c r="AB91" i="2" s="1"/>
  <c r="X91" i="2"/>
  <c r="Y91" i="2" s="1"/>
  <c r="R91" i="2"/>
  <c r="P91" i="2"/>
  <c r="I91" i="2"/>
  <c r="AE91" i="2" s="1"/>
  <c r="C91" i="2"/>
  <c r="AA90" i="2"/>
  <c r="AB90" i="2" s="1"/>
  <c r="X90" i="2"/>
  <c r="Y90" i="2" s="1"/>
  <c r="R90" i="2"/>
  <c r="P90" i="2"/>
  <c r="I90" i="2"/>
  <c r="AE90" i="2" s="1"/>
  <c r="C90" i="2"/>
  <c r="AA89" i="2"/>
  <c r="AB89" i="2" s="1"/>
  <c r="X89" i="2"/>
  <c r="Y89" i="2" s="1"/>
  <c r="R89" i="2"/>
  <c r="P89" i="2"/>
  <c r="I89" i="2"/>
  <c r="AE89" i="2" s="1"/>
  <c r="C89" i="2"/>
  <c r="AA88" i="2"/>
  <c r="AB88" i="2" s="1"/>
  <c r="X88" i="2"/>
  <c r="Y88" i="2" s="1"/>
  <c r="R88" i="2"/>
  <c r="P88" i="2"/>
  <c r="I88" i="2"/>
  <c r="AE88" i="2" s="1"/>
  <c r="C88" i="2"/>
  <c r="AA87" i="2"/>
  <c r="AB87" i="2" s="1"/>
  <c r="X87" i="2"/>
  <c r="Y87" i="2" s="1"/>
  <c r="R87" i="2"/>
  <c r="P87" i="2"/>
  <c r="I87" i="2"/>
  <c r="AE87" i="2" s="1"/>
  <c r="C87" i="2"/>
  <c r="AA86" i="2"/>
  <c r="AB86" i="2" s="1"/>
  <c r="X86" i="2"/>
  <c r="Y86" i="2" s="1"/>
  <c r="R86" i="2"/>
  <c r="P86" i="2"/>
  <c r="I86" i="2"/>
  <c r="AE86" i="2" s="1"/>
  <c r="C86" i="2"/>
  <c r="AA85" i="2"/>
  <c r="AB85" i="2" s="1"/>
  <c r="X85" i="2"/>
  <c r="Y85" i="2" s="1"/>
  <c r="R85" i="2"/>
  <c r="P85" i="2"/>
  <c r="I85" i="2"/>
  <c r="AE85" i="2" s="1"/>
  <c r="C85" i="2"/>
  <c r="AA84" i="2"/>
  <c r="AB84" i="2" s="1"/>
  <c r="X84" i="2"/>
  <c r="Y84" i="2" s="1"/>
  <c r="R84" i="2"/>
  <c r="P84" i="2"/>
  <c r="I84" i="2"/>
  <c r="AE84" i="2" s="1"/>
  <c r="C84" i="2"/>
  <c r="AA83" i="2"/>
  <c r="AB83" i="2" s="1"/>
  <c r="X83" i="2"/>
  <c r="Y83" i="2" s="1"/>
  <c r="R83" i="2"/>
  <c r="P83" i="2"/>
  <c r="I83" i="2"/>
  <c r="AE83" i="2" s="1"/>
  <c r="C83" i="2"/>
  <c r="AA82" i="2"/>
  <c r="AB82" i="2" s="1"/>
  <c r="X82" i="2"/>
  <c r="Y82" i="2" s="1"/>
  <c r="R82" i="2"/>
  <c r="P82" i="2"/>
  <c r="I82" i="2"/>
  <c r="AE82" i="2" s="1"/>
  <c r="C82" i="2"/>
  <c r="AA81" i="2"/>
  <c r="AB81" i="2" s="1"/>
  <c r="X81" i="2"/>
  <c r="Y81" i="2" s="1"/>
  <c r="R81" i="2"/>
  <c r="P81" i="2"/>
  <c r="I81" i="2"/>
  <c r="AE81" i="2" s="1"/>
  <c r="C81" i="2"/>
  <c r="AA80" i="2"/>
  <c r="AB80" i="2" s="1"/>
  <c r="X80" i="2"/>
  <c r="Y80" i="2" s="1"/>
  <c r="R80" i="2"/>
  <c r="P80" i="2"/>
  <c r="I80" i="2"/>
  <c r="AE80" i="2" s="1"/>
  <c r="C80" i="2"/>
  <c r="AA79" i="2"/>
  <c r="AB79" i="2" s="1"/>
  <c r="X79" i="2"/>
  <c r="Y79" i="2" s="1"/>
  <c r="R79" i="2"/>
  <c r="P79" i="2"/>
  <c r="I79" i="2"/>
  <c r="AE79" i="2" s="1"/>
  <c r="C79" i="2"/>
  <c r="AA78" i="2"/>
  <c r="AB78" i="2" s="1"/>
  <c r="X78" i="2"/>
  <c r="Y78" i="2" s="1"/>
  <c r="R78" i="2"/>
  <c r="P78" i="2"/>
  <c r="I78" i="2"/>
  <c r="AE78" i="2" s="1"/>
  <c r="C78" i="2"/>
  <c r="AA77" i="2"/>
  <c r="AB77" i="2" s="1"/>
  <c r="X77" i="2"/>
  <c r="Y77" i="2" s="1"/>
  <c r="R77" i="2"/>
  <c r="P77" i="2"/>
  <c r="I77" i="2"/>
  <c r="AE77" i="2" s="1"/>
  <c r="C77" i="2"/>
  <c r="AA76" i="2"/>
  <c r="AB76" i="2" s="1"/>
  <c r="X76" i="2"/>
  <c r="Y76" i="2" s="1"/>
  <c r="R76" i="2"/>
  <c r="P76" i="2"/>
  <c r="I76" i="2"/>
  <c r="AE76" i="2" s="1"/>
  <c r="C76" i="2"/>
  <c r="AA75" i="2"/>
  <c r="AB75" i="2" s="1"/>
  <c r="X75" i="2"/>
  <c r="Y75" i="2" s="1"/>
  <c r="R75" i="2"/>
  <c r="P75" i="2"/>
  <c r="I75" i="2"/>
  <c r="AE75" i="2" s="1"/>
  <c r="C75" i="2"/>
  <c r="AA74" i="2"/>
  <c r="AB74" i="2" s="1"/>
  <c r="X74" i="2"/>
  <c r="Y74" i="2" s="1"/>
  <c r="R74" i="2"/>
  <c r="P74" i="2"/>
  <c r="I74" i="2"/>
  <c r="AE74" i="2" s="1"/>
  <c r="C74" i="2"/>
  <c r="AA73" i="2"/>
  <c r="AB73" i="2" s="1"/>
  <c r="X73" i="2"/>
  <c r="Y73" i="2" s="1"/>
  <c r="R73" i="2"/>
  <c r="P73" i="2"/>
  <c r="I73" i="2"/>
  <c r="AE73" i="2" s="1"/>
  <c r="C73" i="2"/>
  <c r="AA72" i="2"/>
  <c r="AB72" i="2" s="1"/>
  <c r="X72" i="2"/>
  <c r="Y72" i="2" s="1"/>
  <c r="R72" i="2"/>
  <c r="P72" i="2"/>
  <c r="I72" i="2"/>
  <c r="AE72" i="2" s="1"/>
  <c r="C72" i="2"/>
  <c r="AA71" i="2"/>
  <c r="AB71" i="2" s="1"/>
  <c r="X71" i="2"/>
  <c r="Y71" i="2" s="1"/>
  <c r="R71" i="2"/>
  <c r="P71" i="2"/>
  <c r="I71" i="2"/>
  <c r="AE71" i="2" s="1"/>
  <c r="C71" i="2"/>
  <c r="AA70" i="2"/>
  <c r="AB70" i="2" s="1"/>
  <c r="X70" i="2"/>
  <c r="Y70" i="2" s="1"/>
  <c r="R70" i="2"/>
  <c r="P70" i="2"/>
  <c r="I70" i="2"/>
  <c r="AE70" i="2" s="1"/>
  <c r="C70" i="2"/>
  <c r="AA69" i="2"/>
  <c r="AB69" i="2" s="1"/>
  <c r="X69" i="2"/>
  <c r="Y69" i="2" s="1"/>
  <c r="R69" i="2"/>
  <c r="P69" i="2"/>
  <c r="I69" i="2"/>
  <c r="AE69" i="2" s="1"/>
  <c r="C69" i="2"/>
  <c r="AA68" i="2"/>
  <c r="AB68" i="2" s="1"/>
  <c r="X68" i="2"/>
  <c r="Y68" i="2" s="1"/>
  <c r="R68" i="2"/>
  <c r="P68" i="2"/>
  <c r="I68" i="2"/>
  <c r="AE68" i="2" s="1"/>
  <c r="C68" i="2"/>
  <c r="AA67" i="2"/>
  <c r="AB67" i="2" s="1"/>
  <c r="X67" i="2"/>
  <c r="Y67" i="2" s="1"/>
  <c r="R67" i="2"/>
  <c r="P67" i="2"/>
  <c r="I67" i="2"/>
  <c r="AE67" i="2" s="1"/>
  <c r="C67" i="2"/>
  <c r="AA66" i="2"/>
  <c r="AB66" i="2" s="1"/>
  <c r="X66" i="2"/>
  <c r="Y66" i="2" s="1"/>
  <c r="R66" i="2"/>
  <c r="P66" i="2"/>
  <c r="I66" i="2"/>
  <c r="AE66" i="2" s="1"/>
  <c r="C66" i="2"/>
  <c r="AA65" i="2"/>
  <c r="AB65" i="2" s="1"/>
  <c r="X65" i="2"/>
  <c r="Y65" i="2" s="1"/>
  <c r="R65" i="2"/>
  <c r="P65" i="2"/>
  <c r="I65" i="2"/>
  <c r="AE65" i="2" s="1"/>
  <c r="C65" i="2"/>
  <c r="AA64" i="2"/>
  <c r="AB64" i="2" s="1"/>
  <c r="X64" i="2"/>
  <c r="Y64" i="2" s="1"/>
  <c r="R64" i="2"/>
  <c r="P64" i="2"/>
  <c r="I64" i="2"/>
  <c r="AE64" i="2" s="1"/>
  <c r="C64" i="2"/>
  <c r="AA63" i="2"/>
  <c r="AB63" i="2" s="1"/>
  <c r="X63" i="2"/>
  <c r="Y63" i="2" s="1"/>
  <c r="R63" i="2"/>
  <c r="P63" i="2"/>
  <c r="I63" i="2"/>
  <c r="AE63" i="2" s="1"/>
  <c r="C63" i="2"/>
  <c r="AA62" i="2"/>
  <c r="AB62" i="2" s="1"/>
  <c r="X62" i="2"/>
  <c r="Y62" i="2" s="1"/>
  <c r="R62" i="2"/>
  <c r="P62" i="2"/>
  <c r="I62" i="2"/>
  <c r="AE62" i="2" s="1"/>
  <c r="C62" i="2"/>
  <c r="AA61" i="2"/>
  <c r="AB61" i="2" s="1"/>
  <c r="X61" i="2"/>
  <c r="Y61" i="2" s="1"/>
  <c r="R61" i="2"/>
  <c r="P61" i="2"/>
  <c r="I61" i="2"/>
  <c r="AE61" i="2" s="1"/>
  <c r="C61" i="2"/>
  <c r="AA60" i="2"/>
  <c r="AB60" i="2" s="1"/>
  <c r="X60" i="2"/>
  <c r="Y60" i="2" s="1"/>
  <c r="R60" i="2"/>
  <c r="P60" i="2"/>
  <c r="I60" i="2"/>
  <c r="AE60" i="2" s="1"/>
  <c r="C60" i="2"/>
  <c r="AA59" i="2"/>
  <c r="AB59" i="2" s="1"/>
  <c r="X59" i="2"/>
  <c r="Y59" i="2" s="1"/>
  <c r="R59" i="2"/>
  <c r="P59" i="2"/>
  <c r="I59" i="2"/>
  <c r="AE59" i="2" s="1"/>
  <c r="C59" i="2"/>
  <c r="AA58" i="2"/>
  <c r="AB58" i="2" s="1"/>
  <c r="X58" i="2"/>
  <c r="Y58" i="2" s="1"/>
  <c r="R58" i="2"/>
  <c r="P58" i="2"/>
  <c r="I58" i="2"/>
  <c r="AE58" i="2" s="1"/>
  <c r="C58" i="2"/>
  <c r="AA57" i="2"/>
  <c r="AB57" i="2" s="1"/>
  <c r="X57" i="2"/>
  <c r="Y57" i="2" s="1"/>
  <c r="R57" i="2"/>
  <c r="P57" i="2"/>
  <c r="I57" i="2"/>
  <c r="AE57" i="2" s="1"/>
  <c r="C57" i="2"/>
  <c r="AA56" i="2"/>
  <c r="AB56" i="2" s="1"/>
  <c r="X56" i="2"/>
  <c r="Y56" i="2" s="1"/>
  <c r="R56" i="2"/>
  <c r="P56" i="2"/>
  <c r="I56" i="2"/>
  <c r="AE56" i="2" s="1"/>
  <c r="C56" i="2"/>
  <c r="AA55" i="2"/>
  <c r="AB55" i="2" s="1"/>
  <c r="X55" i="2"/>
  <c r="Y55" i="2" s="1"/>
  <c r="R55" i="2"/>
  <c r="P55" i="2"/>
  <c r="I55" i="2"/>
  <c r="AE55" i="2" s="1"/>
  <c r="C55" i="2"/>
  <c r="AA54" i="2"/>
  <c r="AB54" i="2" s="1"/>
  <c r="X54" i="2"/>
  <c r="Y54" i="2" s="1"/>
  <c r="R54" i="2"/>
  <c r="P54" i="2"/>
  <c r="I54" i="2"/>
  <c r="AE54" i="2" s="1"/>
  <c r="C54" i="2"/>
  <c r="AA53" i="2"/>
  <c r="AB53" i="2" s="1"/>
  <c r="X53" i="2"/>
  <c r="Y53" i="2" s="1"/>
  <c r="R53" i="2"/>
  <c r="P53" i="2"/>
  <c r="I53" i="2"/>
  <c r="AE53" i="2" s="1"/>
  <c r="C53" i="2"/>
  <c r="AA52" i="2"/>
  <c r="AB52" i="2" s="1"/>
  <c r="X52" i="2"/>
  <c r="Y52" i="2" s="1"/>
  <c r="R52" i="2"/>
  <c r="P52" i="2"/>
  <c r="I52" i="2"/>
  <c r="AE52" i="2" s="1"/>
  <c r="C52" i="2"/>
  <c r="AA51" i="2"/>
  <c r="AB51" i="2" s="1"/>
  <c r="X51" i="2"/>
  <c r="Y51" i="2" s="1"/>
  <c r="R51" i="2"/>
  <c r="P51" i="2"/>
  <c r="I51" i="2"/>
  <c r="AE51" i="2" s="1"/>
  <c r="C51" i="2"/>
  <c r="AA50" i="2"/>
  <c r="AB50" i="2" s="1"/>
  <c r="X50" i="2"/>
  <c r="Y50" i="2" s="1"/>
  <c r="R50" i="2"/>
  <c r="P50" i="2"/>
  <c r="I50" i="2"/>
  <c r="AE50" i="2" s="1"/>
  <c r="C50" i="2"/>
  <c r="AA49" i="2"/>
  <c r="AB49" i="2" s="1"/>
  <c r="X49" i="2"/>
  <c r="Y49" i="2" s="1"/>
  <c r="R49" i="2"/>
  <c r="P49" i="2"/>
  <c r="I49" i="2"/>
  <c r="AE49" i="2" s="1"/>
  <c r="C49" i="2"/>
  <c r="AA48" i="2"/>
  <c r="AB48" i="2" s="1"/>
  <c r="X48" i="2"/>
  <c r="Y48" i="2" s="1"/>
  <c r="R48" i="2"/>
  <c r="P48" i="2"/>
  <c r="I48" i="2"/>
  <c r="AE48" i="2" s="1"/>
  <c r="C48" i="2"/>
  <c r="AA47" i="2"/>
  <c r="AB47" i="2" s="1"/>
  <c r="X47" i="2"/>
  <c r="Y47" i="2" s="1"/>
  <c r="R47" i="2"/>
  <c r="P47" i="2"/>
  <c r="I47" i="2"/>
  <c r="AE47" i="2" s="1"/>
  <c r="C47" i="2"/>
  <c r="AG46" i="2"/>
  <c r="C46" i="2"/>
  <c r="AG45" i="2"/>
  <c r="C45" i="2"/>
  <c r="AG44" i="2"/>
  <c r="C44" i="2"/>
  <c r="AG43" i="2"/>
  <c r="C43" i="2"/>
  <c r="AG42" i="2"/>
  <c r="C42" i="2"/>
  <c r="AG41" i="2"/>
  <c r="C41" i="2"/>
  <c r="AG40" i="2"/>
  <c r="C40" i="2"/>
  <c r="AG39" i="2"/>
  <c r="C39" i="2"/>
  <c r="AG38" i="2"/>
  <c r="C38" i="2"/>
  <c r="AG37" i="2"/>
  <c r="C37" i="2"/>
  <c r="AG36" i="2"/>
  <c r="C36" i="2"/>
  <c r="AG35" i="2"/>
  <c r="C35" i="2"/>
  <c r="AG34" i="2"/>
  <c r="C34" i="2"/>
  <c r="AG33" i="2"/>
  <c r="C33" i="2"/>
  <c r="AG32" i="2"/>
  <c r="C32" i="2"/>
  <c r="AG31" i="2"/>
  <c r="C31" i="2"/>
  <c r="AG30" i="2"/>
  <c r="C30" i="2"/>
  <c r="AG29" i="2"/>
  <c r="C29" i="2"/>
  <c r="AA28" i="2"/>
  <c r="AB28" i="2" s="1"/>
  <c r="X28" i="2"/>
  <c r="Y28" i="2" s="1"/>
  <c r="R28" i="2"/>
  <c r="P28" i="2"/>
  <c r="I28" i="2"/>
  <c r="AE28" i="2" s="1"/>
  <c r="C28" i="2"/>
  <c r="AA27" i="2"/>
  <c r="AB27" i="2" s="1"/>
  <c r="X27" i="2"/>
  <c r="Y27" i="2" s="1"/>
  <c r="R27" i="2"/>
  <c r="P27" i="2"/>
  <c r="I27" i="2"/>
  <c r="AE27" i="2" s="1"/>
  <c r="C27" i="2"/>
  <c r="AA26" i="2"/>
  <c r="AB26" i="2" s="1"/>
  <c r="X26" i="2"/>
  <c r="Y26" i="2" s="1"/>
  <c r="R26" i="2"/>
  <c r="P26" i="2"/>
  <c r="I26" i="2"/>
  <c r="AE26" i="2" s="1"/>
  <c r="C26" i="2"/>
  <c r="AA25" i="2"/>
  <c r="AB25" i="2" s="1"/>
  <c r="X25" i="2"/>
  <c r="Y25" i="2" s="1"/>
  <c r="R25" i="2"/>
  <c r="P25" i="2"/>
  <c r="I25" i="2"/>
  <c r="AE25" i="2" s="1"/>
  <c r="C25" i="2"/>
  <c r="AA24" i="2"/>
  <c r="AB24" i="2" s="1"/>
  <c r="X24" i="2"/>
  <c r="Y24" i="2" s="1"/>
  <c r="R24" i="2"/>
  <c r="P24" i="2"/>
  <c r="I24" i="2"/>
  <c r="AE24" i="2" s="1"/>
  <c r="C24" i="2"/>
  <c r="AA23" i="2"/>
  <c r="AB23" i="2" s="1"/>
  <c r="X23" i="2"/>
  <c r="Y23" i="2" s="1"/>
  <c r="R23" i="2"/>
  <c r="P23" i="2"/>
  <c r="I23" i="2"/>
  <c r="AE23" i="2" s="1"/>
  <c r="C23" i="2"/>
  <c r="AA22" i="2"/>
  <c r="AB22" i="2" s="1"/>
  <c r="X22" i="2"/>
  <c r="Y22" i="2" s="1"/>
  <c r="R22" i="2"/>
  <c r="P22" i="2"/>
  <c r="I22" i="2"/>
  <c r="AE22" i="2" s="1"/>
  <c r="C22" i="2"/>
  <c r="C21" i="2"/>
  <c r="AA20" i="2"/>
  <c r="AB20" i="2" s="1"/>
  <c r="X20" i="2"/>
  <c r="Y20" i="2" s="1"/>
  <c r="R20" i="2"/>
  <c r="P20" i="2"/>
  <c r="I20" i="2"/>
  <c r="AE20" i="2" s="1"/>
  <c r="C20" i="2"/>
  <c r="AA19" i="2"/>
  <c r="AB19" i="2" s="1"/>
  <c r="X19" i="2"/>
  <c r="Y19" i="2" s="1"/>
  <c r="R19" i="2"/>
  <c r="P19" i="2"/>
  <c r="I19" i="2"/>
  <c r="AE19" i="2" s="1"/>
  <c r="C19" i="2"/>
  <c r="AA18" i="2"/>
  <c r="AB18" i="2" s="1"/>
  <c r="X18" i="2"/>
  <c r="Y18" i="2" s="1"/>
  <c r="R18" i="2"/>
  <c r="P18" i="2"/>
  <c r="I18" i="2"/>
  <c r="AE18" i="2" s="1"/>
  <c r="C18" i="2"/>
  <c r="AA17" i="2"/>
  <c r="AB17" i="2" s="1"/>
  <c r="X17" i="2"/>
  <c r="Y17" i="2" s="1"/>
  <c r="R17" i="2"/>
  <c r="P17" i="2"/>
  <c r="I17" i="2"/>
  <c r="AE17" i="2" s="1"/>
  <c r="C17" i="2"/>
  <c r="AA16" i="2"/>
  <c r="AB16" i="2" s="1"/>
  <c r="X16" i="2"/>
  <c r="Y16" i="2" s="1"/>
  <c r="R16" i="2"/>
  <c r="P16" i="2"/>
  <c r="I16" i="2"/>
  <c r="AE16" i="2" s="1"/>
  <c r="C16" i="2"/>
  <c r="AA15" i="2"/>
  <c r="AB15" i="2" s="1"/>
  <c r="X15" i="2"/>
  <c r="Y15" i="2" s="1"/>
  <c r="R15" i="2"/>
  <c r="P15" i="2"/>
  <c r="I15" i="2"/>
  <c r="AE15" i="2" s="1"/>
  <c r="C15" i="2"/>
  <c r="AA14" i="2"/>
  <c r="AB14" i="2" s="1"/>
  <c r="X14" i="2"/>
  <c r="Y14" i="2" s="1"/>
  <c r="R14" i="2"/>
  <c r="P14" i="2"/>
  <c r="I14" i="2"/>
  <c r="AE14" i="2" s="1"/>
  <c r="C14" i="2"/>
  <c r="AA13" i="2"/>
  <c r="AB13" i="2" s="1"/>
  <c r="X13" i="2"/>
  <c r="Y13" i="2" s="1"/>
  <c r="R13" i="2"/>
  <c r="P13" i="2"/>
  <c r="I13" i="2"/>
  <c r="AE13" i="2" s="1"/>
  <c r="C13" i="2"/>
  <c r="C12" i="2"/>
  <c r="AA11" i="2"/>
  <c r="AB11" i="2" s="1"/>
  <c r="X11" i="2"/>
  <c r="Y11" i="2" s="1"/>
  <c r="R11" i="2"/>
  <c r="P11" i="2"/>
  <c r="I11" i="2"/>
  <c r="AE11" i="2" s="1"/>
  <c r="C11" i="2"/>
  <c r="AA10" i="2"/>
  <c r="AB10" i="2" s="1"/>
  <c r="X10" i="2"/>
  <c r="Y10" i="2" s="1"/>
  <c r="R10" i="2"/>
  <c r="P10" i="2"/>
  <c r="I10" i="2"/>
  <c r="AE10" i="2" s="1"/>
  <c r="C10" i="2"/>
  <c r="AA9" i="2"/>
  <c r="AB9" i="2" s="1"/>
  <c r="X9" i="2"/>
  <c r="Y9" i="2" s="1"/>
  <c r="R9" i="2"/>
  <c r="P9" i="2"/>
  <c r="C9" i="2"/>
  <c r="AA8" i="2"/>
  <c r="AB8" i="2" s="1"/>
  <c r="X8" i="2"/>
  <c r="Y8" i="2" s="1"/>
  <c r="R8" i="2"/>
  <c r="P8" i="2"/>
  <c r="C8" i="2"/>
  <c r="AA7" i="2"/>
  <c r="AB7" i="2" s="1"/>
  <c r="X7" i="2"/>
  <c r="Y7" i="2" s="1"/>
  <c r="R7" i="2"/>
  <c r="P7" i="2"/>
  <c r="C7" i="2"/>
  <c r="C6" i="2"/>
  <c r="AA5" i="2"/>
  <c r="AB5" i="2" s="1"/>
  <c r="X5" i="2"/>
  <c r="Y5" i="2" s="1"/>
  <c r="R5" i="2"/>
  <c r="P5" i="2"/>
  <c r="I5" i="2"/>
  <c r="AE5" i="2" s="1"/>
  <c r="C5" i="2"/>
  <c r="AA4" i="2"/>
  <c r="AB4" i="2" s="1"/>
  <c r="X4" i="2"/>
  <c r="Y4" i="2" s="1"/>
  <c r="R4" i="2"/>
  <c r="P4" i="2"/>
  <c r="I4" i="2"/>
  <c r="AE4" i="2" s="1"/>
  <c r="C4" i="2"/>
  <c r="AA3" i="2"/>
  <c r="AB3" i="2" s="1"/>
  <c r="X3" i="2"/>
  <c r="Y3" i="2" s="1"/>
  <c r="R3" i="2"/>
  <c r="P3" i="2"/>
  <c r="C3" i="2"/>
  <c r="C2" i="2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47" i="1"/>
  <c r="Q109" i="1"/>
  <c r="O109" i="1"/>
  <c r="I109" i="1"/>
  <c r="C109" i="1"/>
  <c r="Z108" i="1"/>
  <c r="AA108" i="1" s="1"/>
  <c r="W108" i="1"/>
  <c r="X108" i="1" s="1"/>
  <c r="Q108" i="1"/>
  <c r="O108" i="1"/>
  <c r="I108" i="1"/>
  <c r="C108" i="1"/>
  <c r="Z107" i="1"/>
  <c r="AA107" i="1" s="1"/>
  <c r="W107" i="1"/>
  <c r="X107" i="1" s="1"/>
  <c r="Q107" i="1"/>
  <c r="O107" i="1"/>
  <c r="I107" i="1"/>
  <c r="C107" i="1"/>
  <c r="Z106" i="1"/>
  <c r="AA106" i="1" s="1"/>
  <c r="W106" i="1"/>
  <c r="X106" i="1" s="1"/>
  <c r="Q106" i="1"/>
  <c r="O106" i="1"/>
  <c r="I106" i="1"/>
  <c r="C106" i="1"/>
  <c r="Z105" i="1"/>
  <c r="AA105" i="1" s="1"/>
  <c r="W105" i="1"/>
  <c r="X105" i="1" s="1"/>
  <c r="Q105" i="1"/>
  <c r="O105" i="1"/>
  <c r="I105" i="1"/>
  <c r="C105" i="1"/>
  <c r="Z104" i="1"/>
  <c r="AA104" i="1" s="1"/>
  <c r="W104" i="1"/>
  <c r="X104" i="1" s="1"/>
  <c r="Q104" i="1"/>
  <c r="O104" i="1"/>
  <c r="I104" i="1"/>
  <c r="C104" i="1"/>
  <c r="Z103" i="1"/>
  <c r="AA103" i="1" s="1"/>
  <c r="W103" i="1"/>
  <c r="X103" i="1" s="1"/>
  <c r="Q103" i="1"/>
  <c r="O103" i="1"/>
  <c r="I103" i="1"/>
  <c r="C103" i="1"/>
  <c r="Z102" i="1"/>
  <c r="AA102" i="1" s="1"/>
  <c r="W102" i="1"/>
  <c r="X102" i="1" s="1"/>
  <c r="Q102" i="1"/>
  <c r="O102" i="1"/>
  <c r="I102" i="1"/>
  <c r="C102" i="1"/>
  <c r="Z101" i="1"/>
  <c r="AA101" i="1" s="1"/>
  <c r="W101" i="1"/>
  <c r="X101" i="1" s="1"/>
  <c r="Q101" i="1"/>
  <c r="O101" i="1"/>
  <c r="I101" i="1"/>
  <c r="C101" i="1"/>
  <c r="Z100" i="1"/>
  <c r="AA100" i="1" s="1"/>
  <c r="W100" i="1"/>
  <c r="X100" i="1" s="1"/>
  <c r="Q100" i="1"/>
  <c r="O100" i="1"/>
  <c r="C100" i="1"/>
  <c r="Z99" i="1"/>
  <c r="AA99" i="1" s="1"/>
  <c r="W99" i="1"/>
  <c r="X99" i="1" s="1"/>
  <c r="Q99" i="1"/>
  <c r="O99" i="1"/>
  <c r="C99" i="1"/>
  <c r="Z98" i="1"/>
  <c r="AA98" i="1" s="1"/>
  <c r="W98" i="1"/>
  <c r="X98" i="1" s="1"/>
  <c r="Q98" i="1"/>
  <c r="O98" i="1"/>
  <c r="C98" i="1"/>
  <c r="Z97" i="1"/>
  <c r="AA97" i="1" s="1"/>
  <c r="W97" i="1"/>
  <c r="X97" i="1" s="1"/>
  <c r="Q97" i="1"/>
  <c r="O97" i="1"/>
  <c r="C97" i="1"/>
  <c r="Z96" i="1"/>
  <c r="AA96" i="1" s="1"/>
  <c r="W96" i="1"/>
  <c r="X96" i="1" s="1"/>
  <c r="Q96" i="1"/>
  <c r="O96" i="1"/>
  <c r="C96" i="1"/>
  <c r="Z95" i="1"/>
  <c r="AA95" i="1" s="1"/>
  <c r="W95" i="1"/>
  <c r="X95" i="1" s="1"/>
  <c r="Q95" i="1"/>
  <c r="O95" i="1"/>
  <c r="C95" i="1"/>
  <c r="Z94" i="1"/>
  <c r="AA94" i="1" s="1"/>
  <c r="W94" i="1"/>
  <c r="X94" i="1" s="1"/>
  <c r="Q94" i="1"/>
  <c r="O94" i="1"/>
  <c r="C94" i="1"/>
  <c r="Z93" i="1"/>
  <c r="AA93" i="1" s="1"/>
  <c r="W93" i="1"/>
  <c r="X93" i="1" s="1"/>
  <c r="Q93" i="1"/>
  <c r="O93" i="1"/>
  <c r="C93" i="1"/>
  <c r="Z92" i="1"/>
  <c r="AA92" i="1" s="1"/>
  <c r="W92" i="1"/>
  <c r="X92" i="1" s="1"/>
  <c r="Q92" i="1"/>
  <c r="O92" i="1"/>
  <c r="C92" i="1"/>
  <c r="Z91" i="1"/>
  <c r="AA91" i="1" s="1"/>
  <c r="W91" i="1"/>
  <c r="X91" i="1" s="1"/>
  <c r="Q91" i="1"/>
  <c r="O91" i="1"/>
  <c r="C91" i="1"/>
  <c r="Z90" i="1"/>
  <c r="AA90" i="1" s="1"/>
  <c r="W90" i="1"/>
  <c r="X90" i="1" s="1"/>
  <c r="Q90" i="1"/>
  <c r="O90" i="1"/>
  <c r="C90" i="1"/>
  <c r="Z89" i="1"/>
  <c r="AA89" i="1" s="1"/>
  <c r="W89" i="1"/>
  <c r="X89" i="1" s="1"/>
  <c r="Q89" i="1"/>
  <c r="O89" i="1"/>
  <c r="C89" i="1"/>
  <c r="Z88" i="1"/>
  <c r="AA88" i="1" s="1"/>
  <c r="W88" i="1"/>
  <c r="X88" i="1" s="1"/>
  <c r="Q88" i="1"/>
  <c r="O88" i="1"/>
  <c r="C88" i="1"/>
  <c r="Z87" i="1"/>
  <c r="AA87" i="1" s="1"/>
  <c r="W87" i="1"/>
  <c r="X87" i="1" s="1"/>
  <c r="Q87" i="1"/>
  <c r="O87" i="1"/>
  <c r="C87" i="1"/>
  <c r="Z86" i="1"/>
  <c r="AA86" i="1" s="1"/>
  <c r="W86" i="1"/>
  <c r="X86" i="1" s="1"/>
  <c r="Q86" i="1"/>
  <c r="O86" i="1"/>
  <c r="C86" i="1"/>
  <c r="Z85" i="1"/>
  <c r="AA85" i="1" s="1"/>
  <c r="W85" i="1"/>
  <c r="X85" i="1" s="1"/>
  <c r="Q85" i="1"/>
  <c r="O85" i="1"/>
  <c r="C85" i="1"/>
  <c r="Z84" i="1"/>
  <c r="AA84" i="1" s="1"/>
  <c r="W84" i="1"/>
  <c r="X84" i="1" s="1"/>
  <c r="Q84" i="1"/>
  <c r="O84" i="1"/>
  <c r="C84" i="1"/>
  <c r="Z83" i="1"/>
  <c r="AA83" i="1" s="1"/>
  <c r="W83" i="1"/>
  <c r="X83" i="1" s="1"/>
  <c r="Q83" i="1"/>
  <c r="O83" i="1"/>
  <c r="C83" i="1"/>
  <c r="Z82" i="1"/>
  <c r="AA82" i="1" s="1"/>
  <c r="W82" i="1"/>
  <c r="X82" i="1" s="1"/>
  <c r="Q82" i="1"/>
  <c r="O82" i="1"/>
  <c r="C82" i="1"/>
  <c r="Z81" i="1"/>
  <c r="AA81" i="1" s="1"/>
  <c r="W81" i="1"/>
  <c r="X81" i="1" s="1"/>
  <c r="Q81" i="1"/>
  <c r="O81" i="1"/>
  <c r="C81" i="1"/>
  <c r="Z80" i="1"/>
  <c r="AA80" i="1" s="1"/>
  <c r="W80" i="1"/>
  <c r="X80" i="1" s="1"/>
  <c r="Q80" i="1"/>
  <c r="O80" i="1"/>
  <c r="C80" i="1"/>
  <c r="Z79" i="1"/>
  <c r="AA79" i="1" s="1"/>
  <c r="W79" i="1"/>
  <c r="X79" i="1" s="1"/>
  <c r="Q79" i="1"/>
  <c r="O79" i="1"/>
  <c r="C79" i="1"/>
  <c r="Z78" i="1"/>
  <c r="AA78" i="1" s="1"/>
  <c r="W78" i="1"/>
  <c r="X78" i="1" s="1"/>
  <c r="Q78" i="1"/>
  <c r="O78" i="1"/>
  <c r="C78" i="1"/>
  <c r="Z77" i="1"/>
  <c r="AA77" i="1" s="1"/>
  <c r="W77" i="1"/>
  <c r="X77" i="1" s="1"/>
  <c r="Q77" i="1"/>
  <c r="O77" i="1"/>
  <c r="C77" i="1"/>
  <c r="Z76" i="1"/>
  <c r="AA76" i="1" s="1"/>
  <c r="W76" i="1"/>
  <c r="X76" i="1" s="1"/>
  <c r="Q76" i="1"/>
  <c r="O76" i="1"/>
  <c r="C76" i="1"/>
  <c r="Z75" i="1"/>
  <c r="AA75" i="1" s="1"/>
  <c r="W75" i="1"/>
  <c r="X75" i="1" s="1"/>
  <c r="Q75" i="1"/>
  <c r="O75" i="1"/>
  <c r="C75" i="1"/>
  <c r="Z74" i="1"/>
  <c r="AA74" i="1" s="1"/>
  <c r="W74" i="1"/>
  <c r="X74" i="1" s="1"/>
  <c r="Q74" i="1"/>
  <c r="O74" i="1"/>
  <c r="C74" i="1"/>
  <c r="Z73" i="1"/>
  <c r="AA73" i="1" s="1"/>
  <c r="W73" i="1"/>
  <c r="X73" i="1" s="1"/>
  <c r="Q73" i="1"/>
  <c r="O73" i="1"/>
  <c r="C73" i="1"/>
  <c r="Z72" i="1"/>
  <c r="AA72" i="1" s="1"/>
  <c r="W72" i="1"/>
  <c r="X72" i="1" s="1"/>
  <c r="Q72" i="1"/>
  <c r="O72" i="1"/>
  <c r="C72" i="1"/>
  <c r="Z71" i="1"/>
  <c r="AA71" i="1" s="1"/>
  <c r="W71" i="1"/>
  <c r="X71" i="1" s="1"/>
  <c r="Q71" i="1"/>
  <c r="O71" i="1"/>
  <c r="C71" i="1"/>
  <c r="Z70" i="1"/>
  <c r="AA70" i="1" s="1"/>
  <c r="W70" i="1"/>
  <c r="X70" i="1" s="1"/>
  <c r="Q70" i="1"/>
  <c r="O70" i="1"/>
  <c r="C70" i="1"/>
  <c r="Z69" i="1"/>
  <c r="AA69" i="1" s="1"/>
  <c r="W69" i="1"/>
  <c r="X69" i="1" s="1"/>
  <c r="Q69" i="1"/>
  <c r="O69" i="1"/>
  <c r="C69" i="1"/>
  <c r="Z68" i="1"/>
  <c r="AA68" i="1" s="1"/>
  <c r="W68" i="1"/>
  <c r="X68" i="1" s="1"/>
  <c r="Q68" i="1"/>
  <c r="O68" i="1"/>
  <c r="C68" i="1"/>
  <c r="Z67" i="1"/>
  <c r="AA67" i="1" s="1"/>
  <c r="W67" i="1"/>
  <c r="X67" i="1" s="1"/>
  <c r="Q67" i="1"/>
  <c r="O67" i="1"/>
  <c r="C67" i="1"/>
  <c r="Z66" i="1"/>
  <c r="AA66" i="1" s="1"/>
  <c r="W66" i="1"/>
  <c r="X66" i="1" s="1"/>
  <c r="Q66" i="1"/>
  <c r="O66" i="1"/>
  <c r="C66" i="1"/>
  <c r="Z65" i="1"/>
  <c r="AA65" i="1" s="1"/>
  <c r="W65" i="1"/>
  <c r="X65" i="1" s="1"/>
  <c r="Q65" i="1"/>
  <c r="O65" i="1"/>
  <c r="C65" i="1"/>
  <c r="Z64" i="1"/>
  <c r="AA64" i="1" s="1"/>
  <c r="W64" i="1"/>
  <c r="X64" i="1" s="1"/>
  <c r="Q64" i="1"/>
  <c r="O64" i="1"/>
  <c r="C64" i="1"/>
  <c r="Z63" i="1"/>
  <c r="AA63" i="1" s="1"/>
  <c r="W63" i="1"/>
  <c r="X63" i="1" s="1"/>
  <c r="Q63" i="1"/>
  <c r="O63" i="1"/>
  <c r="C63" i="1"/>
  <c r="Z62" i="1"/>
  <c r="AA62" i="1" s="1"/>
  <c r="W62" i="1"/>
  <c r="X62" i="1" s="1"/>
  <c r="Q62" i="1"/>
  <c r="O62" i="1"/>
  <c r="C62" i="1"/>
  <c r="Z61" i="1"/>
  <c r="AA61" i="1" s="1"/>
  <c r="W61" i="1"/>
  <c r="X61" i="1" s="1"/>
  <c r="Q61" i="1"/>
  <c r="O61" i="1"/>
  <c r="C61" i="1"/>
  <c r="Z60" i="1"/>
  <c r="AA60" i="1" s="1"/>
  <c r="W60" i="1"/>
  <c r="X60" i="1" s="1"/>
  <c r="Q60" i="1"/>
  <c r="O60" i="1"/>
  <c r="C60" i="1"/>
  <c r="Z59" i="1"/>
  <c r="AA59" i="1" s="1"/>
  <c r="W59" i="1"/>
  <c r="X59" i="1" s="1"/>
  <c r="Q59" i="1"/>
  <c r="O59" i="1"/>
  <c r="C59" i="1"/>
  <c r="Z58" i="1"/>
  <c r="AA58" i="1" s="1"/>
  <c r="W58" i="1"/>
  <c r="X58" i="1" s="1"/>
  <c r="Q58" i="1"/>
  <c r="O58" i="1"/>
  <c r="C58" i="1"/>
  <c r="Z57" i="1"/>
  <c r="AA57" i="1" s="1"/>
  <c r="W57" i="1"/>
  <c r="X57" i="1" s="1"/>
  <c r="Q57" i="1"/>
  <c r="O57" i="1"/>
  <c r="C57" i="1"/>
  <c r="Z56" i="1"/>
  <c r="AA56" i="1" s="1"/>
  <c r="W56" i="1"/>
  <c r="X56" i="1" s="1"/>
  <c r="Q56" i="1"/>
  <c r="O56" i="1"/>
  <c r="C56" i="1"/>
  <c r="Z55" i="1"/>
  <c r="AA55" i="1" s="1"/>
  <c r="W55" i="1"/>
  <c r="X55" i="1" s="1"/>
  <c r="Q55" i="1"/>
  <c r="O55" i="1"/>
  <c r="C55" i="1"/>
  <c r="Z54" i="1"/>
  <c r="AA54" i="1" s="1"/>
  <c r="W54" i="1"/>
  <c r="X54" i="1" s="1"/>
  <c r="Q54" i="1"/>
  <c r="O54" i="1"/>
  <c r="C54" i="1"/>
  <c r="Z53" i="1"/>
  <c r="AA53" i="1" s="1"/>
  <c r="W53" i="1"/>
  <c r="X53" i="1" s="1"/>
  <c r="Q53" i="1"/>
  <c r="O53" i="1"/>
  <c r="C53" i="1"/>
  <c r="Z52" i="1"/>
  <c r="AA52" i="1" s="1"/>
  <c r="W52" i="1"/>
  <c r="X52" i="1" s="1"/>
  <c r="Q52" i="1"/>
  <c r="O52" i="1"/>
  <c r="C52" i="1"/>
  <c r="Z51" i="1"/>
  <c r="AA51" i="1" s="1"/>
  <c r="W51" i="1"/>
  <c r="X51" i="1" s="1"/>
  <c r="Q51" i="1"/>
  <c r="O51" i="1"/>
  <c r="C51" i="1"/>
  <c r="Z50" i="1"/>
  <c r="AA50" i="1" s="1"/>
  <c r="W50" i="1"/>
  <c r="X50" i="1" s="1"/>
  <c r="Q50" i="1"/>
  <c r="O50" i="1"/>
  <c r="C50" i="1"/>
  <c r="Z49" i="1"/>
  <c r="AA49" i="1" s="1"/>
  <c r="W49" i="1"/>
  <c r="X49" i="1" s="1"/>
  <c r="Q49" i="1"/>
  <c r="O49" i="1"/>
  <c r="C49" i="1"/>
  <c r="Z48" i="1"/>
  <c r="AA48" i="1" s="1"/>
  <c r="W48" i="1"/>
  <c r="X48" i="1" s="1"/>
  <c r="Q48" i="1"/>
  <c r="O48" i="1"/>
  <c r="C48" i="1"/>
  <c r="Z47" i="1"/>
  <c r="AA47" i="1" s="1"/>
  <c r="W47" i="1"/>
  <c r="X47" i="1" s="1"/>
  <c r="Q47" i="1"/>
  <c r="O47" i="1"/>
  <c r="C47" i="1"/>
  <c r="AE46" i="1"/>
  <c r="AF46" i="1" s="1"/>
  <c r="C46" i="1"/>
  <c r="AE45" i="1"/>
  <c r="AF45" i="1" s="1"/>
  <c r="C45" i="1"/>
  <c r="AE44" i="1"/>
  <c r="AF44" i="1" s="1"/>
  <c r="C44" i="1"/>
  <c r="AE43" i="1"/>
  <c r="C43" i="1"/>
  <c r="AE42" i="1"/>
  <c r="AF42" i="1" s="1"/>
  <c r="C42" i="1"/>
  <c r="AE41" i="1"/>
  <c r="AF41" i="1" s="1"/>
  <c r="C41" i="1"/>
  <c r="AE40" i="1"/>
  <c r="AF40" i="1" s="1"/>
  <c r="C40" i="1"/>
  <c r="AE39" i="1"/>
  <c r="AF39" i="1" s="1"/>
  <c r="C39" i="1"/>
  <c r="AE38" i="1"/>
  <c r="AF38" i="1" s="1"/>
  <c r="C38" i="1"/>
  <c r="AE37" i="1"/>
  <c r="AF37" i="1" s="1"/>
  <c r="C37" i="1"/>
  <c r="AE36" i="1"/>
  <c r="AF36" i="1" s="1"/>
  <c r="C36" i="1"/>
  <c r="AE35" i="1"/>
  <c r="AF35" i="1" s="1"/>
  <c r="C35" i="1"/>
  <c r="AE34" i="1"/>
  <c r="AF34" i="1" s="1"/>
  <c r="C34" i="1"/>
  <c r="AE33" i="1"/>
  <c r="AF33" i="1" s="1"/>
  <c r="C33" i="1"/>
  <c r="AE32" i="1"/>
  <c r="AF32" i="1" s="1"/>
  <c r="C32" i="1"/>
  <c r="AE31" i="1"/>
  <c r="AF31" i="1" s="1"/>
  <c r="C31" i="1"/>
  <c r="AE30" i="1"/>
  <c r="AF30" i="1" s="1"/>
  <c r="C30" i="1"/>
  <c r="AE29" i="1"/>
  <c r="AF29" i="1" s="1"/>
  <c r="C29" i="1"/>
  <c r="Z28" i="1"/>
  <c r="AA28" i="1" s="1"/>
  <c r="W28" i="1"/>
  <c r="X28" i="1" s="1"/>
  <c r="Q28" i="1"/>
  <c r="O28" i="1"/>
  <c r="I28" i="1"/>
  <c r="C28" i="1"/>
  <c r="Z27" i="1"/>
  <c r="AA27" i="1" s="1"/>
  <c r="W27" i="1"/>
  <c r="X27" i="1" s="1"/>
  <c r="Q27" i="1"/>
  <c r="O27" i="1"/>
  <c r="I27" i="1"/>
  <c r="C27" i="1"/>
  <c r="Z26" i="1"/>
  <c r="AA26" i="1" s="1"/>
  <c r="W26" i="1"/>
  <c r="X26" i="1" s="1"/>
  <c r="Q26" i="1"/>
  <c r="O26" i="1"/>
  <c r="I26" i="1"/>
  <c r="C26" i="1"/>
  <c r="Z25" i="1"/>
  <c r="AA25" i="1" s="1"/>
  <c r="W25" i="1"/>
  <c r="X25" i="1" s="1"/>
  <c r="Q25" i="1"/>
  <c r="O25" i="1"/>
  <c r="I25" i="1"/>
  <c r="C25" i="1"/>
  <c r="Z24" i="1"/>
  <c r="AA24" i="1" s="1"/>
  <c r="W24" i="1"/>
  <c r="X24" i="1" s="1"/>
  <c r="Q24" i="1"/>
  <c r="O24" i="1"/>
  <c r="I24" i="1"/>
  <c r="C24" i="1"/>
  <c r="Z23" i="1"/>
  <c r="AA23" i="1" s="1"/>
  <c r="W23" i="1"/>
  <c r="X23" i="1" s="1"/>
  <c r="Q23" i="1"/>
  <c r="O23" i="1"/>
  <c r="I23" i="1"/>
  <c r="C23" i="1"/>
  <c r="Z22" i="1"/>
  <c r="AA22" i="1" s="1"/>
  <c r="W22" i="1"/>
  <c r="X22" i="1" s="1"/>
  <c r="Q22" i="1"/>
  <c r="O22" i="1"/>
  <c r="I22" i="1"/>
  <c r="C22" i="1"/>
  <c r="C21" i="1"/>
  <c r="Z20" i="1"/>
  <c r="AA20" i="1" s="1"/>
  <c r="W20" i="1"/>
  <c r="X20" i="1" s="1"/>
  <c r="Q20" i="1"/>
  <c r="O20" i="1"/>
  <c r="I20" i="1"/>
  <c r="C20" i="1"/>
  <c r="Z19" i="1"/>
  <c r="AA19" i="1" s="1"/>
  <c r="W19" i="1"/>
  <c r="X19" i="1" s="1"/>
  <c r="Q19" i="1"/>
  <c r="O19" i="1"/>
  <c r="I19" i="1"/>
  <c r="C19" i="1"/>
  <c r="Z18" i="1"/>
  <c r="AA18" i="1" s="1"/>
  <c r="W18" i="1"/>
  <c r="X18" i="1" s="1"/>
  <c r="Q18" i="1"/>
  <c r="O18" i="1"/>
  <c r="I18" i="1"/>
  <c r="C18" i="1"/>
  <c r="Z17" i="1"/>
  <c r="AA17" i="1" s="1"/>
  <c r="W17" i="1"/>
  <c r="X17" i="1" s="1"/>
  <c r="Q17" i="1"/>
  <c r="O17" i="1"/>
  <c r="I17" i="1"/>
  <c r="C17" i="1"/>
  <c r="Z16" i="1"/>
  <c r="AA16" i="1" s="1"/>
  <c r="W16" i="1"/>
  <c r="X16" i="1" s="1"/>
  <c r="Q16" i="1"/>
  <c r="O16" i="1"/>
  <c r="I16" i="1"/>
  <c r="C16" i="1"/>
  <c r="Z15" i="1"/>
  <c r="AA15" i="1" s="1"/>
  <c r="W15" i="1"/>
  <c r="X15" i="1" s="1"/>
  <c r="AB15" i="1" s="1"/>
  <c r="Q15" i="1"/>
  <c r="O15" i="1"/>
  <c r="I15" i="1"/>
  <c r="C15" i="1"/>
  <c r="Z14" i="1"/>
  <c r="AA14" i="1" s="1"/>
  <c r="W14" i="1"/>
  <c r="X14" i="1" s="1"/>
  <c r="Q14" i="1"/>
  <c r="O14" i="1"/>
  <c r="I14" i="1"/>
  <c r="C14" i="1"/>
  <c r="Z13" i="1"/>
  <c r="AA13" i="1" s="1"/>
  <c r="W13" i="1"/>
  <c r="X13" i="1" s="1"/>
  <c r="Q13" i="1"/>
  <c r="O13" i="1"/>
  <c r="I13" i="1"/>
  <c r="C13" i="1"/>
  <c r="C12" i="1"/>
  <c r="Z11" i="1"/>
  <c r="AA11" i="1" s="1"/>
  <c r="W11" i="1"/>
  <c r="X11" i="1" s="1"/>
  <c r="Q11" i="1"/>
  <c r="O11" i="1"/>
  <c r="I11" i="1"/>
  <c r="C11" i="1"/>
  <c r="Z10" i="1"/>
  <c r="AA10" i="1" s="1"/>
  <c r="W10" i="1"/>
  <c r="X10" i="1" s="1"/>
  <c r="Q10" i="1"/>
  <c r="O10" i="1"/>
  <c r="I10" i="1"/>
  <c r="C10" i="1"/>
  <c r="Z9" i="1"/>
  <c r="AA9" i="1" s="1"/>
  <c r="W9" i="1"/>
  <c r="X9" i="1" s="1"/>
  <c r="Q9" i="1"/>
  <c r="O9" i="1"/>
  <c r="C9" i="1"/>
  <c r="Z8" i="1"/>
  <c r="AA8" i="1" s="1"/>
  <c r="W8" i="1"/>
  <c r="X8" i="1" s="1"/>
  <c r="Q8" i="1"/>
  <c r="O8" i="1"/>
  <c r="C8" i="1"/>
  <c r="Z7" i="1"/>
  <c r="AA7" i="1" s="1"/>
  <c r="W7" i="1"/>
  <c r="X7" i="1" s="1"/>
  <c r="Q7" i="1"/>
  <c r="O7" i="1"/>
  <c r="C7" i="1"/>
  <c r="C6" i="1"/>
  <c r="Z5" i="1"/>
  <c r="AA5" i="1" s="1"/>
  <c r="W5" i="1"/>
  <c r="X5" i="1" s="1"/>
  <c r="Q5" i="1"/>
  <c r="O5" i="1"/>
  <c r="I5" i="1"/>
  <c r="C5" i="1"/>
  <c r="Z4" i="1"/>
  <c r="AA4" i="1" s="1"/>
  <c r="W4" i="1"/>
  <c r="X4" i="1" s="1"/>
  <c r="Q4" i="1"/>
  <c r="O4" i="1"/>
  <c r="I4" i="1"/>
  <c r="C4" i="1"/>
  <c r="Z3" i="1"/>
  <c r="AA3" i="1" s="1"/>
  <c r="W3" i="1"/>
  <c r="X3" i="1" s="1"/>
  <c r="AD3" i="1" s="1"/>
  <c r="AE3" i="1" s="1"/>
  <c r="AF3" i="1" s="1"/>
  <c r="Q3" i="1"/>
  <c r="O3" i="1"/>
  <c r="I3" i="1"/>
  <c r="C3" i="1"/>
  <c r="C2" i="1"/>
  <c r="T4" i="6" l="1"/>
  <c r="S4" i="6"/>
  <c r="S110" i="6"/>
  <c r="T110" i="6"/>
  <c r="AC109" i="6"/>
  <c r="AF109" i="6"/>
  <c r="AG109" i="6" s="1"/>
  <c r="AH109" i="6" s="1"/>
  <c r="T109" i="6"/>
  <c r="S109" i="6"/>
  <c r="AI109" i="6"/>
  <c r="AL109" i="6"/>
  <c r="AC108" i="6"/>
  <c r="AF108" i="6"/>
  <c r="AG108" i="6" s="1"/>
  <c r="AH108" i="6" s="1"/>
  <c r="T108" i="6"/>
  <c r="S108" i="6"/>
  <c r="AI108" i="6"/>
  <c r="AL108" i="6"/>
  <c r="AC107" i="6"/>
  <c r="AF107" i="6"/>
  <c r="AG107" i="6" s="1"/>
  <c r="AH107" i="6" s="1"/>
  <c r="S107" i="6"/>
  <c r="T107" i="6"/>
  <c r="AI107" i="6"/>
  <c r="AL107" i="6"/>
  <c r="AC106" i="6"/>
  <c r="AF106" i="6"/>
  <c r="AG106" i="6" s="1"/>
  <c r="AH106" i="6" s="1"/>
  <c r="S106" i="6"/>
  <c r="T106" i="6"/>
  <c r="AI106" i="6"/>
  <c r="AL106" i="6"/>
  <c r="AF105" i="6"/>
  <c r="AG105" i="6" s="1"/>
  <c r="AH105" i="6" s="1"/>
  <c r="AC105" i="6"/>
  <c r="T105" i="6"/>
  <c r="S105" i="6"/>
  <c r="AI105" i="6"/>
  <c r="AL105" i="6"/>
  <c r="AC104" i="6"/>
  <c r="AF104" i="6"/>
  <c r="AG104" i="6" s="1"/>
  <c r="AH104" i="6" s="1"/>
  <c r="T104" i="6"/>
  <c r="S104" i="6"/>
  <c r="AC103" i="6"/>
  <c r="AF103" i="6"/>
  <c r="AG103" i="6" s="1"/>
  <c r="AH103" i="6" s="1"/>
  <c r="S103" i="6"/>
  <c r="T103" i="6"/>
  <c r="AI103" i="6"/>
  <c r="AL103" i="6"/>
  <c r="AC102" i="6"/>
  <c r="AF102" i="6"/>
  <c r="AG102" i="6" s="1"/>
  <c r="AH102" i="6" s="1"/>
  <c r="T102" i="6"/>
  <c r="S102" i="6"/>
  <c r="AC101" i="6"/>
  <c r="AF101" i="6"/>
  <c r="AG101" i="6" s="1"/>
  <c r="AH101" i="6" s="1"/>
  <c r="AI101" i="6" s="1"/>
  <c r="AK101" i="6" s="1"/>
  <c r="AL101" i="6" s="1"/>
  <c r="T101" i="6"/>
  <c r="S101" i="6"/>
  <c r="AC100" i="6"/>
  <c r="AF100" i="6"/>
  <c r="AG100" i="6" s="1"/>
  <c r="AH100" i="6" s="1"/>
  <c r="AI100" i="6" s="1"/>
  <c r="AK100" i="6" s="1"/>
  <c r="AL100" i="6" s="1"/>
  <c r="S100" i="6"/>
  <c r="T100" i="6"/>
  <c r="AC99" i="6"/>
  <c r="AF99" i="6"/>
  <c r="AG99" i="6" s="1"/>
  <c r="AH99" i="6" s="1"/>
  <c r="AI99" i="6" s="1"/>
  <c r="AK99" i="6" s="1"/>
  <c r="AL99" i="6" s="1"/>
  <c r="T99" i="6"/>
  <c r="S99" i="6"/>
  <c r="AC98" i="6"/>
  <c r="AF98" i="6"/>
  <c r="AG98" i="6" s="1"/>
  <c r="AH98" i="6" s="1"/>
  <c r="AI98" i="6" s="1"/>
  <c r="AK98" i="6" s="1"/>
  <c r="AL98" i="6" s="1"/>
  <c r="T98" i="6"/>
  <c r="S98" i="6"/>
  <c r="AC97" i="6"/>
  <c r="AF97" i="6"/>
  <c r="AG97" i="6" s="1"/>
  <c r="AH97" i="6" s="1"/>
  <c r="AI97" i="6" s="1"/>
  <c r="AK97" i="6" s="1"/>
  <c r="AL97" i="6" s="1"/>
  <c r="T97" i="6"/>
  <c r="S97" i="6"/>
  <c r="AC96" i="6"/>
  <c r="AF96" i="6"/>
  <c r="AG96" i="6" s="1"/>
  <c r="AH96" i="6" s="1"/>
  <c r="AI96" i="6" s="1"/>
  <c r="AK96" i="6" s="1"/>
  <c r="AL96" i="6" s="1"/>
  <c r="T96" i="6"/>
  <c r="S96" i="6"/>
  <c r="AC95" i="6"/>
  <c r="AF95" i="6"/>
  <c r="AG95" i="6" s="1"/>
  <c r="AH95" i="6" s="1"/>
  <c r="AI95" i="6" s="1"/>
  <c r="AK95" i="6" s="1"/>
  <c r="AL95" i="6" s="1"/>
  <c r="S95" i="6"/>
  <c r="T95" i="6"/>
  <c r="AC94" i="6"/>
  <c r="AF94" i="6"/>
  <c r="AG94" i="6" s="1"/>
  <c r="AH94" i="6" s="1"/>
  <c r="AI94" i="6" s="1"/>
  <c r="AK94" i="6" s="1"/>
  <c r="AL94" i="6" s="1"/>
  <c r="T94" i="6"/>
  <c r="S94" i="6"/>
  <c r="AC93" i="6"/>
  <c r="AF93" i="6"/>
  <c r="AG93" i="6" s="1"/>
  <c r="AH93" i="6" s="1"/>
  <c r="AI93" i="6" s="1"/>
  <c r="AK93" i="6" s="1"/>
  <c r="AL93" i="6" s="1"/>
  <c r="S93" i="6"/>
  <c r="T93" i="6"/>
  <c r="AC92" i="6"/>
  <c r="AF92" i="6"/>
  <c r="AG92" i="6" s="1"/>
  <c r="AH92" i="6" s="1"/>
  <c r="AI92" i="6" s="1"/>
  <c r="AK92" i="6" s="1"/>
  <c r="AL92" i="6" s="1"/>
  <c r="S92" i="6"/>
  <c r="T92" i="6"/>
  <c r="AC91" i="6"/>
  <c r="AF91" i="6"/>
  <c r="AG91" i="6" s="1"/>
  <c r="AH91" i="6" s="1"/>
  <c r="AI91" i="6" s="1"/>
  <c r="AK91" i="6" s="1"/>
  <c r="AL91" i="6" s="1"/>
  <c r="S91" i="6"/>
  <c r="T91" i="6"/>
  <c r="AC90" i="6"/>
  <c r="AF90" i="6"/>
  <c r="AG90" i="6" s="1"/>
  <c r="AH90" i="6" s="1"/>
  <c r="AI90" i="6" s="1"/>
  <c r="AK90" i="6" s="1"/>
  <c r="AL90" i="6" s="1"/>
  <c r="S90" i="6"/>
  <c r="T90" i="6"/>
  <c r="AC89" i="6"/>
  <c r="AF89" i="6"/>
  <c r="AG89" i="6" s="1"/>
  <c r="AH89" i="6" s="1"/>
  <c r="AI89" i="6" s="1"/>
  <c r="AK89" i="6" s="1"/>
  <c r="AL89" i="6" s="1"/>
  <c r="T89" i="6"/>
  <c r="S89" i="6"/>
  <c r="AC88" i="6"/>
  <c r="AF88" i="6"/>
  <c r="AG88" i="6" s="1"/>
  <c r="AH88" i="6" s="1"/>
  <c r="AI88" i="6" s="1"/>
  <c r="AK88" i="6" s="1"/>
  <c r="AL88" i="6" s="1"/>
  <c r="S88" i="6"/>
  <c r="T88" i="6"/>
  <c r="AC87" i="6"/>
  <c r="AF87" i="6"/>
  <c r="AG87" i="6" s="1"/>
  <c r="AH87" i="6" s="1"/>
  <c r="AI87" i="6" s="1"/>
  <c r="AK87" i="6" s="1"/>
  <c r="AL87" i="6" s="1"/>
  <c r="T87" i="6"/>
  <c r="S87" i="6"/>
  <c r="AC86" i="6"/>
  <c r="AF86" i="6"/>
  <c r="AG86" i="6" s="1"/>
  <c r="AH86" i="6" s="1"/>
  <c r="AI86" i="6" s="1"/>
  <c r="AK86" i="6" s="1"/>
  <c r="AL86" i="6" s="1"/>
  <c r="T86" i="6"/>
  <c r="S86" i="6"/>
  <c r="AC85" i="6"/>
  <c r="AF85" i="6"/>
  <c r="AG85" i="6" s="1"/>
  <c r="AH85" i="6" s="1"/>
  <c r="AI85" i="6" s="1"/>
  <c r="AK85" i="6" s="1"/>
  <c r="AL85" i="6" s="1"/>
  <c r="T85" i="6"/>
  <c r="S85" i="6"/>
  <c r="AC84" i="6"/>
  <c r="AF84" i="6"/>
  <c r="AG84" i="6" s="1"/>
  <c r="AH84" i="6" s="1"/>
  <c r="AI84" i="6" s="1"/>
  <c r="AK84" i="6" s="1"/>
  <c r="AL84" i="6" s="1"/>
  <c r="T84" i="6"/>
  <c r="S84" i="6"/>
  <c r="AC83" i="6"/>
  <c r="AF83" i="6"/>
  <c r="AG83" i="6" s="1"/>
  <c r="AH83" i="6" s="1"/>
  <c r="T83" i="6"/>
  <c r="S83" i="6"/>
  <c r="AI83" i="6"/>
  <c r="AK83" i="6"/>
  <c r="AL83" i="6" s="1"/>
  <c r="AC82" i="6"/>
  <c r="AF82" i="6"/>
  <c r="AG82" i="6" s="1"/>
  <c r="AH82" i="6" s="1"/>
  <c r="T82" i="6"/>
  <c r="S82" i="6"/>
  <c r="AI82" i="6"/>
  <c r="AK82" i="6"/>
  <c r="AL82" i="6" s="1"/>
  <c r="AC81" i="6"/>
  <c r="AF81" i="6"/>
  <c r="AG81" i="6" s="1"/>
  <c r="AH81" i="6" s="1"/>
  <c r="S81" i="6"/>
  <c r="T81" i="6"/>
  <c r="AI81" i="6"/>
  <c r="AK81" i="6"/>
  <c r="AL81" i="6" s="1"/>
  <c r="AC80" i="6"/>
  <c r="AF80" i="6"/>
  <c r="AG80" i="6" s="1"/>
  <c r="AH80" i="6" s="1"/>
  <c r="T80" i="6"/>
  <c r="S80" i="6"/>
  <c r="AI80" i="6"/>
  <c r="AK80" i="6"/>
  <c r="AL80" i="6" s="1"/>
  <c r="AC79" i="6"/>
  <c r="AF79" i="6"/>
  <c r="AG79" i="6" s="1"/>
  <c r="AH79" i="6" s="1"/>
  <c r="T79" i="6"/>
  <c r="S79" i="6"/>
  <c r="AI79" i="6"/>
  <c r="AK79" i="6"/>
  <c r="AL79" i="6" s="1"/>
  <c r="AC78" i="6"/>
  <c r="AF78" i="6"/>
  <c r="AG78" i="6" s="1"/>
  <c r="AH78" i="6" s="1"/>
  <c r="T78" i="6"/>
  <c r="S78" i="6"/>
  <c r="AI78" i="6"/>
  <c r="AK78" i="6"/>
  <c r="AL78" i="6" s="1"/>
  <c r="AC77" i="6"/>
  <c r="AF77" i="6"/>
  <c r="AG77" i="6" s="1"/>
  <c r="AH77" i="6" s="1"/>
  <c r="S77" i="6"/>
  <c r="T77" i="6"/>
  <c r="AC76" i="6"/>
  <c r="AF76" i="6"/>
  <c r="AG76" i="6" s="1"/>
  <c r="AH76" i="6" s="1"/>
  <c r="S76" i="6"/>
  <c r="T76" i="6"/>
  <c r="AI76" i="6"/>
  <c r="AK76" i="6"/>
  <c r="AL76" i="6" s="1"/>
  <c r="AC75" i="6"/>
  <c r="AF75" i="6"/>
  <c r="AG75" i="6" s="1"/>
  <c r="AH75" i="6" s="1"/>
  <c r="AI75" i="6" s="1"/>
  <c r="T75" i="6"/>
  <c r="S75" i="6"/>
  <c r="AK75" i="6"/>
  <c r="AL75" i="6" s="1"/>
  <c r="AC74" i="6"/>
  <c r="AF74" i="6"/>
  <c r="AG74" i="6" s="1"/>
  <c r="AH74" i="6" s="1"/>
  <c r="T74" i="6"/>
  <c r="S74" i="6"/>
  <c r="AI74" i="6"/>
  <c r="AK74" i="6"/>
  <c r="AL74" i="6" s="1"/>
  <c r="AC73" i="6"/>
  <c r="AF73" i="6"/>
  <c r="AG73" i="6" s="1"/>
  <c r="AH73" i="6" s="1"/>
  <c r="S73" i="6"/>
  <c r="T73" i="6"/>
  <c r="AI73" i="6"/>
  <c r="AK73" i="6"/>
  <c r="AL73" i="6" s="1"/>
  <c r="AC72" i="6"/>
  <c r="AF72" i="6"/>
  <c r="AG72" i="6" s="1"/>
  <c r="AH72" i="6" s="1"/>
  <c r="S72" i="6"/>
  <c r="T72" i="6"/>
  <c r="AI72" i="6"/>
  <c r="AK72" i="6"/>
  <c r="AL72" i="6" s="1"/>
  <c r="AC71" i="6"/>
  <c r="AF71" i="6"/>
  <c r="AG71" i="6" s="1"/>
  <c r="AH71" i="6" s="1"/>
  <c r="T71" i="6"/>
  <c r="S71" i="6"/>
  <c r="AC70" i="6"/>
  <c r="AF70" i="6"/>
  <c r="AG70" i="6" s="1"/>
  <c r="AH70" i="6" s="1"/>
  <c r="AI70" i="6" s="1"/>
  <c r="S70" i="6"/>
  <c r="T70" i="6"/>
  <c r="AK70" i="6"/>
  <c r="AL70" i="6" s="1"/>
  <c r="AC69" i="6"/>
  <c r="AF69" i="6"/>
  <c r="AG69" i="6" s="1"/>
  <c r="AH69" i="6" s="1"/>
  <c r="T69" i="6"/>
  <c r="S69" i="6"/>
  <c r="AI69" i="6"/>
  <c r="AK69" i="6"/>
  <c r="AL69" i="6" s="1"/>
  <c r="AC68" i="6"/>
  <c r="AF68" i="6"/>
  <c r="AG68" i="6" s="1"/>
  <c r="AH68" i="6" s="1"/>
  <c r="T68" i="6"/>
  <c r="S68" i="6"/>
  <c r="AI68" i="6"/>
  <c r="AK68" i="6"/>
  <c r="AL68" i="6" s="1"/>
  <c r="AC67" i="6"/>
  <c r="AF67" i="6"/>
  <c r="AG67" i="6" s="1"/>
  <c r="AH67" i="6" s="1"/>
  <c r="AI67" i="6" s="1"/>
  <c r="T67" i="6"/>
  <c r="S67" i="6"/>
  <c r="AK67" i="6"/>
  <c r="AL67" i="6" s="1"/>
  <c r="AC66" i="6"/>
  <c r="AF66" i="6"/>
  <c r="AG66" i="6" s="1"/>
  <c r="AH66" i="6" s="1"/>
  <c r="AI66" i="6" s="1"/>
  <c r="T66" i="6"/>
  <c r="S66" i="6"/>
  <c r="AK66" i="6"/>
  <c r="AL66" i="6" s="1"/>
  <c r="AC65" i="6"/>
  <c r="AF65" i="6"/>
  <c r="AG65" i="6" s="1"/>
  <c r="AH65" i="6" s="1"/>
  <c r="S65" i="6"/>
  <c r="T65" i="6"/>
  <c r="AF64" i="6"/>
  <c r="AG64" i="6" s="1"/>
  <c r="AH64" i="6" s="1"/>
  <c r="AC64" i="6"/>
  <c r="T64" i="6"/>
  <c r="S64" i="6"/>
  <c r="AK64" i="6"/>
  <c r="AL64" i="6" s="1"/>
  <c r="AI64" i="6"/>
  <c r="AC63" i="6"/>
  <c r="AF63" i="6"/>
  <c r="AG63" i="6" s="1"/>
  <c r="AH63" i="6" s="1"/>
  <c r="S63" i="6"/>
  <c r="T63" i="6"/>
  <c r="AI63" i="6"/>
  <c r="AF62" i="6"/>
  <c r="AG62" i="6" s="1"/>
  <c r="AH62" i="6" s="1"/>
  <c r="AC62" i="6"/>
  <c r="S62" i="6"/>
  <c r="T62" i="6"/>
  <c r="AK62" i="6"/>
  <c r="AL62" i="6" s="1"/>
  <c r="AI62" i="6"/>
  <c r="AC61" i="6"/>
  <c r="AF61" i="6"/>
  <c r="AG61" i="6" s="1"/>
  <c r="AH61" i="6" s="1"/>
  <c r="T61" i="6"/>
  <c r="S61" i="6"/>
  <c r="AC60" i="6"/>
  <c r="AF60" i="6"/>
  <c r="AG60" i="6" s="1"/>
  <c r="AH60" i="6" s="1"/>
  <c r="T60" i="6"/>
  <c r="S60" i="6"/>
  <c r="AI60" i="6"/>
  <c r="AC59" i="6"/>
  <c r="AF59" i="6"/>
  <c r="AG59" i="6" s="1"/>
  <c r="AH59" i="6" s="1"/>
  <c r="T59" i="6"/>
  <c r="S59" i="6"/>
  <c r="AK59" i="6"/>
  <c r="AL59" i="6" s="1"/>
  <c r="AI59" i="6"/>
  <c r="AC58" i="6"/>
  <c r="AF58" i="6"/>
  <c r="AG58" i="6" s="1"/>
  <c r="AH58" i="6" s="1"/>
  <c r="T58" i="6"/>
  <c r="S58" i="6"/>
  <c r="AI58" i="6"/>
  <c r="AK58" i="6"/>
  <c r="AL58" i="6" s="1"/>
  <c r="AF57" i="6"/>
  <c r="AG57" i="6" s="1"/>
  <c r="AH57" i="6" s="1"/>
  <c r="AC57" i="6"/>
  <c r="T57" i="6"/>
  <c r="S57" i="6"/>
  <c r="AK57" i="6"/>
  <c r="AL57" i="6" s="1"/>
  <c r="AI57" i="6"/>
  <c r="AC56" i="6"/>
  <c r="AF56" i="6"/>
  <c r="AG56" i="6" s="1"/>
  <c r="AH56" i="6" s="1"/>
  <c r="T56" i="6"/>
  <c r="S56" i="6"/>
  <c r="AK56" i="6"/>
  <c r="AL56" i="6" s="1"/>
  <c r="AI56" i="6"/>
  <c r="AC55" i="6"/>
  <c r="AF55" i="6"/>
  <c r="AG55" i="6" s="1"/>
  <c r="AH55" i="6" s="1"/>
  <c r="T55" i="6"/>
  <c r="S55" i="6"/>
  <c r="AI55" i="6"/>
  <c r="AK55" i="6"/>
  <c r="AL55" i="6" s="1"/>
  <c r="AF54" i="6"/>
  <c r="AG54" i="6" s="1"/>
  <c r="AH54" i="6" s="1"/>
  <c r="AC54" i="6"/>
  <c r="T54" i="6"/>
  <c r="S54" i="6"/>
  <c r="AK54" i="6"/>
  <c r="AL54" i="6" s="1"/>
  <c r="AI54" i="6"/>
  <c r="AC53" i="6"/>
  <c r="AF53" i="6"/>
  <c r="AG53" i="6" s="1"/>
  <c r="AH53" i="6" s="1"/>
  <c r="S53" i="6"/>
  <c r="T53" i="6"/>
  <c r="AK53" i="6"/>
  <c r="AL53" i="6" s="1"/>
  <c r="AI53" i="6"/>
  <c r="AC52" i="6"/>
  <c r="AF52" i="6"/>
  <c r="AG52" i="6" s="1"/>
  <c r="AH52" i="6" s="1"/>
  <c r="S52" i="6"/>
  <c r="T52" i="6"/>
  <c r="AK52" i="6"/>
  <c r="AL52" i="6" s="1"/>
  <c r="AI52" i="6"/>
  <c r="AC51" i="6"/>
  <c r="AF51" i="6"/>
  <c r="AG51" i="6" s="1"/>
  <c r="AH51" i="6" s="1"/>
  <c r="S51" i="6"/>
  <c r="T51" i="6"/>
  <c r="AI51" i="6"/>
  <c r="AK51" i="6"/>
  <c r="AL51" i="6" s="1"/>
  <c r="AC50" i="6"/>
  <c r="AF50" i="6"/>
  <c r="AG50" i="6" s="1"/>
  <c r="AH50" i="6" s="1"/>
  <c r="T50" i="6"/>
  <c r="S50" i="6"/>
  <c r="AI50" i="6"/>
  <c r="AK50" i="6"/>
  <c r="AL50" i="6" s="1"/>
  <c r="AC49" i="6"/>
  <c r="AF49" i="6"/>
  <c r="AG49" i="6" s="1"/>
  <c r="AH49" i="6" s="1"/>
  <c r="T49" i="6"/>
  <c r="S49" i="6"/>
  <c r="AI49" i="6"/>
  <c r="AK49" i="6"/>
  <c r="AL49" i="6" s="1"/>
  <c r="AC48" i="6"/>
  <c r="AF48" i="6"/>
  <c r="AG48" i="6" s="1"/>
  <c r="AH48" i="6" s="1"/>
  <c r="S48" i="6"/>
  <c r="T48" i="6"/>
  <c r="AI48" i="6"/>
  <c r="AK48" i="6"/>
  <c r="AL48" i="6" s="1"/>
  <c r="AK47" i="6"/>
  <c r="AL47" i="6" s="1"/>
  <c r="AI47" i="6"/>
  <c r="AK46" i="6"/>
  <c r="AL46" i="6" s="1"/>
  <c r="AI46" i="6"/>
  <c r="AK45" i="6"/>
  <c r="AL45" i="6" s="1"/>
  <c r="AI45" i="6"/>
  <c r="AI44" i="6"/>
  <c r="AK44" i="6"/>
  <c r="AL44" i="6" s="1"/>
  <c r="AK43" i="6"/>
  <c r="AL43" i="6" s="1"/>
  <c r="AI43" i="6"/>
  <c r="AK42" i="6"/>
  <c r="AL42" i="6" s="1"/>
  <c r="AI42" i="6"/>
  <c r="AK41" i="6"/>
  <c r="AL41" i="6" s="1"/>
  <c r="AI41" i="6"/>
  <c r="AI40" i="6"/>
  <c r="AK40" i="6"/>
  <c r="AL40" i="6" s="1"/>
  <c r="AI39" i="6"/>
  <c r="AK39" i="6"/>
  <c r="AL39" i="6" s="1"/>
  <c r="AI38" i="6"/>
  <c r="AK38" i="6"/>
  <c r="AL38" i="6" s="1"/>
  <c r="AI37" i="6"/>
  <c r="AK37" i="6"/>
  <c r="AL37" i="6" s="1"/>
  <c r="AI36" i="6"/>
  <c r="AK36" i="6"/>
  <c r="AL36" i="6" s="1"/>
  <c r="AI35" i="6"/>
  <c r="AK35" i="6"/>
  <c r="AL35" i="6" s="1"/>
  <c r="AI34" i="6"/>
  <c r="AK34" i="6"/>
  <c r="AL34" i="6" s="1"/>
  <c r="AI33" i="6"/>
  <c r="AK33" i="6"/>
  <c r="AL33" i="6" s="1"/>
  <c r="AI32" i="6"/>
  <c r="AK32" i="6"/>
  <c r="AL32" i="6" s="1"/>
  <c r="AI31" i="6"/>
  <c r="AK31" i="6"/>
  <c r="AL31" i="6" s="1"/>
  <c r="AI30" i="6"/>
  <c r="AK30" i="6"/>
  <c r="AL30" i="6" s="1"/>
  <c r="AC29" i="6"/>
  <c r="AF29" i="6"/>
  <c r="AG29" i="6" s="1"/>
  <c r="AH29" i="6" s="1"/>
  <c r="AI29" i="6" s="1"/>
  <c r="AK29" i="6" s="1"/>
  <c r="AL29" i="6" s="1"/>
  <c r="T29" i="6"/>
  <c r="S29" i="6"/>
  <c r="AC28" i="6"/>
  <c r="AF28" i="6"/>
  <c r="AG28" i="6" s="1"/>
  <c r="AH28" i="6" s="1"/>
  <c r="AI28" i="6" s="1"/>
  <c r="AK28" i="6" s="1"/>
  <c r="AL28" i="6" s="1"/>
  <c r="S28" i="6"/>
  <c r="T28" i="6"/>
  <c r="AC27" i="6"/>
  <c r="AF27" i="6"/>
  <c r="AG27" i="6" s="1"/>
  <c r="AH27" i="6" s="1"/>
  <c r="AI27" i="6" s="1"/>
  <c r="AK27" i="6" s="1"/>
  <c r="AL27" i="6" s="1"/>
  <c r="S27" i="6"/>
  <c r="T27" i="6"/>
  <c r="AC26" i="6"/>
  <c r="AF26" i="6"/>
  <c r="AG26" i="6" s="1"/>
  <c r="AH26" i="6" s="1"/>
  <c r="AI26" i="6" s="1"/>
  <c r="AK26" i="6" s="1"/>
  <c r="AL26" i="6" s="1"/>
  <c r="T26" i="6"/>
  <c r="S26" i="6"/>
  <c r="AC25" i="6"/>
  <c r="AF25" i="6"/>
  <c r="AG25" i="6" s="1"/>
  <c r="AH25" i="6" s="1"/>
  <c r="AI25" i="6" s="1"/>
  <c r="AK25" i="6" s="1"/>
  <c r="AL25" i="6" s="1"/>
  <c r="S25" i="6"/>
  <c r="T25" i="6"/>
  <c r="AC24" i="6"/>
  <c r="AF24" i="6"/>
  <c r="AG24" i="6" s="1"/>
  <c r="AH24" i="6" s="1"/>
  <c r="AI24" i="6" s="1"/>
  <c r="AK24" i="6" s="1"/>
  <c r="AL24" i="6" s="1"/>
  <c r="T24" i="6"/>
  <c r="S24" i="6"/>
  <c r="AF23" i="6"/>
  <c r="AG23" i="6" s="1"/>
  <c r="AH23" i="6" s="1"/>
  <c r="AI23" i="6" s="1"/>
  <c r="AK23" i="6" s="1"/>
  <c r="AL23" i="6" s="1"/>
  <c r="AC23" i="6"/>
  <c r="T23" i="6"/>
  <c r="S23" i="6"/>
  <c r="AC21" i="6"/>
  <c r="AF21" i="6"/>
  <c r="AG21" i="6" s="1"/>
  <c r="AH21" i="6" s="1"/>
  <c r="AI21" i="6" s="1"/>
  <c r="AK21" i="6" s="1"/>
  <c r="AL21" i="6" s="1"/>
  <c r="T21" i="6"/>
  <c r="S21" i="6"/>
  <c r="AC20" i="6"/>
  <c r="AF20" i="6"/>
  <c r="AG20" i="6" s="1"/>
  <c r="AH20" i="6" s="1"/>
  <c r="AI20" i="6" s="1"/>
  <c r="AK20" i="6" s="1"/>
  <c r="AL20" i="6" s="1"/>
  <c r="T20" i="6"/>
  <c r="S20" i="6"/>
  <c r="AC19" i="6"/>
  <c r="AF19" i="6"/>
  <c r="AG19" i="6" s="1"/>
  <c r="AH19" i="6" s="1"/>
  <c r="AI19" i="6" s="1"/>
  <c r="AK19" i="6" s="1"/>
  <c r="AL19" i="6" s="1"/>
  <c r="T19" i="6"/>
  <c r="S19" i="6"/>
  <c r="AC18" i="6"/>
  <c r="AF18" i="6"/>
  <c r="AG18" i="6" s="1"/>
  <c r="AH18" i="6" s="1"/>
  <c r="AI18" i="6" s="1"/>
  <c r="AK18" i="6" s="1"/>
  <c r="AL18" i="6" s="1"/>
  <c r="T18" i="6"/>
  <c r="S18" i="6"/>
  <c r="AC17" i="6"/>
  <c r="AF17" i="6"/>
  <c r="AG17" i="6" s="1"/>
  <c r="AH17" i="6" s="1"/>
  <c r="AI17" i="6" s="1"/>
  <c r="AK17" i="6" s="1"/>
  <c r="AL17" i="6" s="1"/>
  <c r="S17" i="6"/>
  <c r="T17" i="6"/>
  <c r="AF16" i="6"/>
  <c r="AG16" i="6" s="1"/>
  <c r="AH16" i="6" s="1"/>
  <c r="AI16" i="6" s="1"/>
  <c r="AK16" i="6" s="1"/>
  <c r="AL16" i="6" s="1"/>
  <c r="AC16" i="6"/>
  <c r="S16" i="6"/>
  <c r="T16" i="6"/>
  <c r="AF15" i="6"/>
  <c r="AG15" i="6" s="1"/>
  <c r="AH15" i="6" s="1"/>
  <c r="AI15" i="6" s="1"/>
  <c r="AK15" i="6" s="1"/>
  <c r="AL15" i="6" s="1"/>
  <c r="AC15" i="6"/>
  <c r="S15" i="6"/>
  <c r="T15" i="6"/>
  <c r="AF14" i="6"/>
  <c r="AG14" i="6" s="1"/>
  <c r="AH14" i="6" s="1"/>
  <c r="AI14" i="6" s="1"/>
  <c r="AK14" i="6" s="1"/>
  <c r="AL14" i="6" s="1"/>
  <c r="AC14" i="6"/>
  <c r="S14" i="6"/>
  <c r="T14" i="6"/>
  <c r="AF12" i="6"/>
  <c r="AG12" i="6" s="1"/>
  <c r="AH12" i="6" s="1"/>
  <c r="AI12" i="6" s="1"/>
  <c r="AK12" i="6" s="1"/>
  <c r="AL12" i="6" s="1"/>
  <c r="AC12" i="6"/>
  <c r="S12" i="6"/>
  <c r="T12" i="6"/>
  <c r="AF11" i="6"/>
  <c r="AG11" i="6" s="1"/>
  <c r="AH11" i="6" s="1"/>
  <c r="AI11" i="6" s="1"/>
  <c r="AK11" i="6" s="1"/>
  <c r="AL11" i="6" s="1"/>
  <c r="AC11" i="6"/>
  <c r="S11" i="6"/>
  <c r="T11" i="6"/>
  <c r="AC10" i="6"/>
  <c r="AF10" i="6"/>
  <c r="AG10" i="6" s="1"/>
  <c r="AH10" i="6" s="1"/>
  <c r="AI10" i="6" s="1"/>
  <c r="AK10" i="6" s="1"/>
  <c r="AL10" i="6" s="1"/>
  <c r="S10" i="6"/>
  <c r="T10" i="6"/>
  <c r="AF9" i="6"/>
  <c r="AG9" i="6" s="1"/>
  <c r="AH9" i="6" s="1"/>
  <c r="AI9" i="6" s="1"/>
  <c r="AK9" i="6" s="1"/>
  <c r="AL9" i="6" s="1"/>
  <c r="AC9" i="6"/>
  <c r="T9" i="6"/>
  <c r="S9" i="6"/>
  <c r="AF8" i="6"/>
  <c r="AG8" i="6" s="1"/>
  <c r="AH8" i="6" s="1"/>
  <c r="AI8" i="6" s="1"/>
  <c r="AK8" i="6" s="1"/>
  <c r="AL8" i="6" s="1"/>
  <c r="AC8" i="6"/>
  <c r="S8" i="6"/>
  <c r="T8" i="6"/>
  <c r="AC6" i="6"/>
  <c r="AF6" i="6"/>
  <c r="AG6" i="6" s="1"/>
  <c r="AH6" i="6" s="1"/>
  <c r="AI6" i="6" s="1"/>
  <c r="AK6" i="6" s="1"/>
  <c r="AL6" i="6" s="1"/>
  <c r="T6" i="6"/>
  <c r="S6" i="6"/>
  <c r="AC4" i="6"/>
  <c r="AF4" i="6"/>
  <c r="AG4" i="6" s="1"/>
  <c r="AH4" i="6" s="1"/>
  <c r="AI4" i="6" s="1"/>
  <c r="AK4" i="6" s="1"/>
  <c r="AL4" i="6" s="1"/>
  <c r="AC3" i="6"/>
  <c r="AF3" i="6"/>
  <c r="AG3" i="6" s="1"/>
  <c r="AH3" i="6" s="1"/>
  <c r="AI3" i="6" s="1"/>
  <c r="AK3" i="6" s="1"/>
  <c r="AL3" i="6" s="1"/>
  <c r="S3" i="6"/>
  <c r="T3" i="6"/>
  <c r="AK100" i="2"/>
  <c r="AL100" i="2" s="1"/>
  <c r="AK99" i="2"/>
  <c r="S78" i="5"/>
  <c r="R78" i="5"/>
  <c r="S84" i="4"/>
  <c r="R84" i="4"/>
  <c r="AG3" i="1"/>
  <c r="AI3" i="1"/>
  <c r="AJ3" i="1" s="1"/>
  <c r="AH43" i="2"/>
  <c r="AH46" i="2"/>
  <c r="AH42" i="2"/>
  <c r="AH39" i="2"/>
  <c r="AH36" i="2"/>
  <c r="AH33" i="2"/>
  <c r="AH32" i="2"/>
  <c r="AH29" i="2"/>
  <c r="AH45" i="2"/>
  <c r="AH40" i="2"/>
  <c r="AH38" i="2"/>
  <c r="AH35" i="2"/>
  <c r="AH30" i="2"/>
  <c r="AH44" i="2"/>
  <c r="AH41" i="2"/>
  <c r="AH37" i="2"/>
  <c r="AH34" i="2"/>
  <c r="AH31" i="2"/>
  <c r="S109" i="5"/>
  <c r="R109" i="5"/>
  <c r="AB108" i="5"/>
  <c r="AD108" i="5"/>
  <c r="AE108" i="5" s="1"/>
  <c r="AF108" i="5" s="1"/>
  <c r="S108" i="5"/>
  <c r="R108" i="5"/>
  <c r="AB107" i="5"/>
  <c r="AD107" i="5"/>
  <c r="AE107" i="5" s="1"/>
  <c r="AF107" i="5" s="1"/>
  <c r="S107" i="5"/>
  <c r="R107" i="5"/>
  <c r="AB106" i="5"/>
  <c r="AD106" i="5"/>
  <c r="AE106" i="5" s="1"/>
  <c r="AF106" i="5" s="1"/>
  <c r="S106" i="5"/>
  <c r="R106" i="5"/>
  <c r="AB105" i="5"/>
  <c r="AD105" i="5"/>
  <c r="AE105" i="5" s="1"/>
  <c r="AF105" i="5" s="1"/>
  <c r="R105" i="5"/>
  <c r="S105" i="5"/>
  <c r="AD104" i="5"/>
  <c r="AE104" i="5" s="1"/>
  <c r="AF104" i="5" s="1"/>
  <c r="AB104" i="5"/>
  <c r="S104" i="5"/>
  <c r="R104" i="5"/>
  <c r="AD103" i="5"/>
  <c r="AE103" i="5" s="1"/>
  <c r="AF103" i="5" s="1"/>
  <c r="AB103" i="5"/>
  <c r="S103" i="5"/>
  <c r="R103" i="5"/>
  <c r="AD102" i="5"/>
  <c r="AE102" i="5" s="1"/>
  <c r="AF102" i="5" s="1"/>
  <c r="AB102" i="5"/>
  <c r="R102" i="5"/>
  <c r="S102" i="5"/>
  <c r="AD101" i="5"/>
  <c r="AE101" i="5" s="1"/>
  <c r="AF101" i="5" s="1"/>
  <c r="AB101" i="5"/>
  <c r="S101" i="5"/>
  <c r="R101" i="5"/>
  <c r="AB100" i="5"/>
  <c r="AD100" i="5"/>
  <c r="AE100" i="5" s="1"/>
  <c r="AF100" i="5" s="1"/>
  <c r="AG100" i="5" s="1"/>
  <c r="AI100" i="5" s="1"/>
  <c r="AJ100" i="5" s="1"/>
  <c r="S100" i="5"/>
  <c r="R100" i="5"/>
  <c r="AD99" i="5"/>
  <c r="AE99" i="5" s="1"/>
  <c r="AF99" i="5" s="1"/>
  <c r="AG99" i="5" s="1"/>
  <c r="AI99" i="5" s="1"/>
  <c r="AJ99" i="5" s="1"/>
  <c r="AB99" i="5"/>
  <c r="R99" i="5"/>
  <c r="S99" i="5"/>
  <c r="AB98" i="5"/>
  <c r="AD98" i="5"/>
  <c r="AE98" i="5" s="1"/>
  <c r="AF98" i="5" s="1"/>
  <c r="AG98" i="5" s="1"/>
  <c r="AI98" i="5" s="1"/>
  <c r="AJ98" i="5" s="1"/>
  <c r="R98" i="5"/>
  <c r="S98" i="5"/>
  <c r="AB97" i="5"/>
  <c r="AD97" i="5"/>
  <c r="AE97" i="5" s="1"/>
  <c r="AF97" i="5" s="1"/>
  <c r="AG97" i="5" s="1"/>
  <c r="AI97" i="5" s="1"/>
  <c r="AJ97" i="5" s="1"/>
  <c r="R97" i="5"/>
  <c r="S97" i="5"/>
  <c r="AB96" i="5"/>
  <c r="AD96" i="5"/>
  <c r="AE96" i="5" s="1"/>
  <c r="AF96" i="5" s="1"/>
  <c r="AG96" i="5" s="1"/>
  <c r="AI96" i="5" s="1"/>
  <c r="AJ96" i="5" s="1"/>
  <c r="R96" i="5"/>
  <c r="S96" i="5"/>
  <c r="AB95" i="5"/>
  <c r="AD95" i="5"/>
  <c r="AE95" i="5" s="1"/>
  <c r="AF95" i="5" s="1"/>
  <c r="AG95" i="5" s="1"/>
  <c r="AI95" i="5" s="1"/>
  <c r="AJ95" i="5" s="1"/>
  <c r="R95" i="5"/>
  <c r="S95" i="5"/>
  <c r="AB94" i="5"/>
  <c r="AD94" i="5"/>
  <c r="AE94" i="5" s="1"/>
  <c r="AF94" i="5" s="1"/>
  <c r="AG94" i="5" s="1"/>
  <c r="AI94" i="5" s="1"/>
  <c r="AJ94" i="5" s="1"/>
  <c r="S94" i="5"/>
  <c r="R94" i="5"/>
  <c r="AD93" i="5"/>
  <c r="AE93" i="5" s="1"/>
  <c r="AF93" i="5" s="1"/>
  <c r="AG93" i="5" s="1"/>
  <c r="AI93" i="5" s="1"/>
  <c r="AJ93" i="5" s="1"/>
  <c r="AB93" i="5"/>
  <c r="R93" i="5"/>
  <c r="S93" i="5"/>
  <c r="AD92" i="5"/>
  <c r="AE92" i="5" s="1"/>
  <c r="AF92" i="5" s="1"/>
  <c r="AG92" i="5" s="1"/>
  <c r="AI92" i="5" s="1"/>
  <c r="AJ92" i="5" s="1"/>
  <c r="AB92" i="5"/>
  <c r="R92" i="5"/>
  <c r="S92" i="5"/>
  <c r="AB91" i="5"/>
  <c r="AD91" i="5"/>
  <c r="AE91" i="5" s="1"/>
  <c r="AF91" i="5" s="1"/>
  <c r="AG91" i="5" s="1"/>
  <c r="AI91" i="5" s="1"/>
  <c r="AJ91" i="5" s="1"/>
  <c r="R91" i="5"/>
  <c r="S91" i="5"/>
  <c r="AB90" i="5"/>
  <c r="AD90" i="5"/>
  <c r="AE90" i="5" s="1"/>
  <c r="AF90" i="5" s="1"/>
  <c r="AG90" i="5" s="1"/>
  <c r="AI90" i="5" s="1"/>
  <c r="AJ90" i="5" s="1"/>
  <c r="R90" i="5"/>
  <c r="S90" i="5"/>
  <c r="AB89" i="5"/>
  <c r="AD89" i="5"/>
  <c r="AE89" i="5" s="1"/>
  <c r="AF89" i="5" s="1"/>
  <c r="AG89" i="5" s="1"/>
  <c r="AI89" i="5" s="1"/>
  <c r="AJ89" i="5" s="1"/>
  <c r="R89" i="5"/>
  <c r="S89" i="5"/>
  <c r="AD88" i="5"/>
  <c r="AE88" i="5" s="1"/>
  <c r="AF88" i="5" s="1"/>
  <c r="AG88" i="5" s="1"/>
  <c r="AI88" i="5" s="1"/>
  <c r="AJ88" i="5" s="1"/>
  <c r="AB88" i="5"/>
  <c r="R88" i="5"/>
  <c r="S88" i="5"/>
  <c r="AB87" i="5"/>
  <c r="AD87" i="5"/>
  <c r="AE87" i="5" s="1"/>
  <c r="AF87" i="5" s="1"/>
  <c r="AG87" i="5" s="1"/>
  <c r="AI87" i="5" s="1"/>
  <c r="AJ87" i="5" s="1"/>
  <c r="S87" i="5"/>
  <c r="R87" i="5"/>
  <c r="AD86" i="5"/>
  <c r="AE86" i="5" s="1"/>
  <c r="AF86" i="5" s="1"/>
  <c r="AG86" i="5" s="1"/>
  <c r="AI86" i="5" s="1"/>
  <c r="AJ86" i="5" s="1"/>
  <c r="AB86" i="5"/>
  <c r="R86" i="5"/>
  <c r="S86" i="5"/>
  <c r="AB85" i="5"/>
  <c r="AD85" i="5"/>
  <c r="AE85" i="5" s="1"/>
  <c r="AF85" i="5" s="1"/>
  <c r="AG85" i="5" s="1"/>
  <c r="AI85" i="5" s="1"/>
  <c r="AJ85" i="5" s="1"/>
  <c r="R85" i="5"/>
  <c r="S85" i="5"/>
  <c r="AB84" i="5"/>
  <c r="AD84" i="5"/>
  <c r="AE84" i="5" s="1"/>
  <c r="AF84" i="5" s="1"/>
  <c r="AG84" i="5" s="1"/>
  <c r="AI84" i="5" s="1"/>
  <c r="AJ84" i="5" s="1"/>
  <c r="R84" i="5"/>
  <c r="S84" i="5"/>
  <c r="AB83" i="5"/>
  <c r="AD83" i="5"/>
  <c r="AE83" i="5" s="1"/>
  <c r="AF83" i="5" s="1"/>
  <c r="AG83" i="5" s="1"/>
  <c r="AI83" i="5" s="1"/>
  <c r="AJ83" i="5" s="1"/>
  <c r="S83" i="5"/>
  <c r="R83" i="5"/>
  <c r="AB82" i="5"/>
  <c r="AD82" i="5"/>
  <c r="AE82" i="5" s="1"/>
  <c r="AF82" i="5" s="1"/>
  <c r="R82" i="5"/>
  <c r="S82" i="5"/>
  <c r="AD81" i="5"/>
  <c r="AE81" i="5" s="1"/>
  <c r="AF81" i="5" s="1"/>
  <c r="AB81" i="5"/>
  <c r="S81" i="5"/>
  <c r="R81" i="5"/>
  <c r="AD80" i="5"/>
  <c r="AE80" i="5" s="1"/>
  <c r="AF80" i="5" s="1"/>
  <c r="AB80" i="5"/>
  <c r="S80" i="5"/>
  <c r="R80" i="5"/>
  <c r="AB79" i="5"/>
  <c r="AD79" i="5"/>
  <c r="AE79" i="5" s="1"/>
  <c r="AF79" i="5" s="1"/>
  <c r="S79" i="5"/>
  <c r="R79" i="5"/>
  <c r="AD78" i="5"/>
  <c r="AE78" i="5" s="1"/>
  <c r="AF78" i="5" s="1"/>
  <c r="AB78" i="5"/>
  <c r="AB77" i="5"/>
  <c r="AD77" i="5"/>
  <c r="AE77" i="5" s="1"/>
  <c r="AF77" i="5" s="1"/>
  <c r="S77" i="5"/>
  <c r="R77" i="5"/>
  <c r="AB76" i="5"/>
  <c r="AD76" i="5"/>
  <c r="AE76" i="5" s="1"/>
  <c r="AF76" i="5" s="1"/>
  <c r="S76" i="5"/>
  <c r="R76" i="5"/>
  <c r="AB75" i="5"/>
  <c r="AD75" i="5"/>
  <c r="AE75" i="5" s="1"/>
  <c r="AF75" i="5" s="1"/>
  <c r="R75" i="5"/>
  <c r="S75" i="5"/>
  <c r="AD74" i="5"/>
  <c r="AE74" i="5" s="1"/>
  <c r="AF74" i="5" s="1"/>
  <c r="AB74" i="5"/>
  <c r="R74" i="5"/>
  <c r="S74" i="5"/>
  <c r="AD73" i="5"/>
  <c r="AE73" i="5" s="1"/>
  <c r="AF73" i="5" s="1"/>
  <c r="AB73" i="5"/>
  <c r="S73" i="5"/>
  <c r="R73" i="5"/>
  <c r="AB72" i="5"/>
  <c r="AD72" i="5"/>
  <c r="AE72" i="5" s="1"/>
  <c r="AF72" i="5" s="1"/>
  <c r="S72" i="5"/>
  <c r="R72" i="5"/>
  <c r="AD71" i="5"/>
  <c r="AE71" i="5" s="1"/>
  <c r="AF71" i="5" s="1"/>
  <c r="AB71" i="5"/>
  <c r="S71" i="5"/>
  <c r="R71" i="5"/>
  <c r="AB70" i="5"/>
  <c r="AD70" i="5"/>
  <c r="AE70" i="5" s="1"/>
  <c r="AF70" i="5" s="1"/>
  <c r="R70" i="5"/>
  <c r="S70" i="5"/>
  <c r="AD69" i="5"/>
  <c r="AE69" i="5" s="1"/>
  <c r="AF69" i="5" s="1"/>
  <c r="AB69" i="5"/>
  <c r="S69" i="5"/>
  <c r="R69" i="5"/>
  <c r="AB68" i="5"/>
  <c r="AD68" i="5"/>
  <c r="AE68" i="5" s="1"/>
  <c r="AF68" i="5" s="1"/>
  <c r="S68" i="5"/>
  <c r="R68" i="5"/>
  <c r="AB67" i="5"/>
  <c r="AD67" i="5"/>
  <c r="AE67" i="5" s="1"/>
  <c r="AF67" i="5" s="1"/>
  <c r="R67" i="5"/>
  <c r="S67" i="5"/>
  <c r="AB66" i="5"/>
  <c r="AD66" i="5"/>
  <c r="AE66" i="5" s="1"/>
  <c r="AF66" i="5" s="1"/>
  <c r="S66" i="5"/>
  <c r="R66" i="5"/>
  <c r="AB65" i="5"/>
  <c r="AD65" i="5"/>
  <c r="AE65" i="5" s="1"/>
  <c r="AF65" i="5" s="1"/>
  <c r="R65" i="5"/>
  <c r="S65" i="5"/>
  <c r="AB64" i="5"/>
  <c r="AD64" i="5"/>
  <c r="AE64" i="5" s="1"/>
  <c r="AF64" i="5" s="1"/>
  <c r="R64" i="5"/>
  <c r="S64" i="5"/>
  <c r="AB63" i="5"/>
  <c r="AD63" i="5"/>
  <c r="AE63" i="5" s="1"/>
  <c r="AF63" i="5" s="1"/>
  <c r="S63" i="5"/>
  <c r="R63" i="5"/>
  <c r="AB62" i="5"/>
  <c r="AD62" i="5"/>
  <c r="AE62" i="5" s="1"/>
  <c r="AF62" i="5" s="1"/>
  <c r="S62" i="5"/>
  <c r="R62" i="5"/>
  <c r="AB61" i="5"/>
  <c r="AD61" i="5"/>
  <c r="AE61" i="5" s="1"/>
  <c r="AF61" i="5" s="1"/>
  <c r="R61" i="5"/>
  <c r="S61" i="5"/>
  <c r="AB60" i="5"/>
  <c r="AD60" i="5"/>
  <c r="AE60" i="5" s="1"/>
  <c r="AF60" i="5" s="1"/>
  <c r="S60" i="5"/>
  <c r="R60" i="5"/>
  <c r="AB59" i="5"/>
  <c r="AD59" i="5"/>
  <c r="AE59" i="5" s="1"/>
  <c r="AF59" i="5" s="1"/>
  <c r="S59" i="5"/>
  <c r="R59" i="5"/>
  <c r="AB58" i="5"/>
  <c r="AD58" i="5"/>
  <c r="AE58" i="5" s="1"/>
  <c r="AF58" i="5" s="1"/>
  <c r="S58" i="5"/>
  <c r="R58" i="5"/>
  <c r="AB57" i="5"/>
  <c r="AD57" i="5"/>
  <c r="AE57" i="5" s="1"/>
  <c r="AF57" i="5" s="1"/>
  <c r="S57" i="5"/>
  <c r="R57" i="5"/>
  <c r="AB56" i="5"/>
  <c r="AD56" i="5"/>
  <c r="AE56" i="5" s="1"/>
  <c r="AF56" i="5" s="1"/>
  <c r="S56" i="5"/>
  <c r="R56" i="5"/>
  <c r="AB55" i="5"/>
  <c r="AD55" i="5"/>
  <c r="AE55" i="5" s="1"/>
  <c r="AF55" i="5" s="1"/>
  <c r="S55" i="5"/>
  <c r="R55" i="5"/>
  <c r="AB54" i="5"/>
  <c r="AD54" i="5"/>
  <c r="AE54" i="5" s="1"/>
  <c r="AF54" i="5" s="1"/>
  <c r="S54" i="5"/>
  <c r="R54" i="5"/>
  <c r="AB53" i="5"/>
  <c r="AD53" i="5"/>
  <c r="AE53" i="5" s="1"/>
  <c r="AF53" i="5" s="1"/>
  <c r="S53" i="5"/>
  <c r="R53" i="5"/>
  <c r="AB52" i="5"/>
  <c r="AD52" i="5"/>
  <c r="AE52" i="5" s="1"/>
  <c r="AF52" i="5" s="1"/>
  <c r="S52" i="5"/>
  <c r="R52" i="5"/>
  <c r="AB51" i="5"/>
  <c r="AD51" i="5"/>
  <c r="AE51" i="5" s="1"/>
  <c r="AF51" i="5" s="1"/>
  <c r="S51" i="5"/>
  <c r="R51" i="5"/>
  <c r="AB50" i="5"/>
  <c r="AD50" i="5"/>
  <c r="AE50" i="5" s="1"/>
  <c r="AF50" i="5" s="1"/>
  <c r="S50" i="5"/>
  <c r="R50" i="5"/>
  <c r="AB49" i="5"/>
  <c r="AD49" i="5"/>
  <c r="AE49" i="5" s="1"/>
  <c r="AF49" i="5" s="1"/>
  <c r="R49" i="5"/>
  <c r="S49" i="5"/>
  <c r="AB48" i="5"/>
  <c r="AD48" i="5"/>
  <c r="AE48" i="5" s="1"/>
  <c r="AF48" i="5" s="1"/>
  <c r="R48" i="5"/>
  <c r="S48" i="5"/>
  <c r="AB47" i="5"/>
  <c r="AD47" i="5"/>
  <c r="AE47" i="5" s="1"/>
  <c r="AF47" i="5" s="1"/>
  <c r="S47" i="5"/>
  <c r="R47" i="5"/>
  <c r="AG46" i="5"/>
  <c r="AI46" i="5"/>
  <c r="AJ46" i="5" s="1"/>
  <c r="AG45" i="5"/>
  <c r="AI45" i="5"/>
  <c r="AJ45" i="5" s="1"/>
  <c r="AG44" i="5"/>
  <c r="AI44" i="5"/>
  <c r="AJ44" i="5" s="1"/>
  <c r="AG43" i="5"/>
  <c r="AI43" i="5"/>
  <c r="AJ43" i="5" s="1"/>
  <c r="AG42" i="5"/>
  <c r="AI42" i="5"/>
  <c r="AG41" i="5"/>
  <c r="AG40" i="5"/>
  <c r="AI40" i="5"/>
  <c r="AJ40" i="5" s="1"/>
  <c r="AG39" i="5"/>
  <c r="AI39" i="5"/>
  <c r="AJ39" i="5" s="1"/>
  <c r="AG38" i="5"/>
  <c r="AI38" i="5"/>
  <c r="AJ38" i="5" s="1"/>
  <c r="AG37" i="5"/>
  <c r="AI37" i="5"/>
  <c r="AJ37" i="5" s="1"/>
  <c r="AG36" i="5"/>
  <c r="AI36" i="5"/>
  <c r="AJ36" i="5" s="1"/>
  <c r="AG35" i="5"/>
  <c r="AI35" i="5"/>
  <c r="AJ35" i="5" s="1"/>
  <c r="AG34" i="5"/>
  <c r="AI34" i="5"/>
  <c r="AJ34" i="5" s="1"/>
  <c r="AG33" i="5"/>
  <c r="AI33" i="5"/>
  <c r="AJ33" i="5" s="1"/>
  <c r="AG32" i="5"/>
  <c r="AI32" i="5"/>
  <c r="AJ32" i="5" s="1"/>
  <c r="AG31" i="5"/>
  <c r="AI31" i="5"/>
  <c r="AJ31" i="5" s="1"/>
  <c r="AG30" i="5"/>
  <c r="AI30" i="5"/>
  <c r="AJ30" i="5" s="1"/>
  <c r="AG29" i="5"/>
  <c r="AI29" i="5"/>
  <c r="AJ29" i="5" s="1"/>
  <c r="AB28" i="5"/>
  <c r="AD28" i="5"/>
  <c r="AE28" i="5" s="1"/>
  <c r="AF28" i="5" s="1"/>
  <c r="AG28" i="5" s="1"/>
  <c r="AI28" i="5" s="1"/>
  <c r="AJ28" i="5" s="1"/>
  <c r="R28" i="5"/>
  <c r="S28" i="5"/>
  <c r="AB27" i="5"/>
  <c r="AD27" i="5"/>
  <c r="AE27" i="5" s="1"/>
  <c r="AF27" i="5" s="1"/>
  <c r="AG27" i="5" s="1"/>
  <c r="AI27" i="5" s="1"/>
  <c r="AJ27" i="5" s="1"/>
  <c r="S27" i="5"/>
  <c r="R27" i="5"/>
  <c r="AB26" i="5"/>
  <c r="AD26" i="5"/>
  <c r="AE26" i="5" s="1"/>
  <c r="AF26" i="5" s="1"/>
  <c r="AG26" i="5" s="1"/>
  <c r="AI26" i="5" s="1"/>
  <c r="AJ26" i="5" s="1"/>
  <c r="S26" i="5"/>
  <c r="R26" i="5"/>
  <c r="AB25" i="5"/>
  <c r="AD25" i="5"/>
  <c r="AE25" i="5" s="1"/>
  <c r="AF25" i="5" s="1"/>
  <c r="AG25" i="5" s="1"/>
  <c r="AI25" i="5" s="1"/>
  <c r="AJ25" i="5" s="1"/>
  <c r="R25" i="5"/>
  <c r="S25" i="5"/>
  <c r="AB24" i="5"/>
  <c r="AD24" i="5"/>
  <c r="AE24" i="5" s="1"/>
  <c r="AF24" i="5" s="1"/>
  <c r="AG24" i="5" s="1"/>
  <c r="AI24" i="5" s="1"/>
  <c r="AJ24" i="5" s="1"/>
  <c r="R24" i="5"/>
  <c r="S24" i="5"/>
  <c r="AB23" i="5"/>
  <c r="AD23" i="5"/>
  <c r="AE23" i="5" s="1"/>
  <c r="AF23" i="5" s="1"/>
  <c r="AG23" i="5" s="1"/>
  <c r="AI23" i="5" s="1"/>
  <c r="AJ23" i="5" s="1"/>
  <c r="S23" i="5"/>
  <c r="R23" i="5"/>
  <c r="AB22" i="5"/>
  <c r="AD22" i="5"/>
  <c r="AE22" i="5" s="1"/>
  <c r="AF22" i="5" s="1"/>
  <c r="AG22" i="5" s="1"/>
  <c r="AI22" i="5" s="1"/>
  <c r="AJ22" i="5" s="1"/>
  <c r="S22" i="5"/>
  <c r="R22" i="5"/>
  <c r="AB20" i="5"/>
  <c r="AD20" i="5"/>
  <c r="AE20" i="5" s="1"/>
  <c r="AF20" i="5" s="1"/>
  <c r="AG20" i="5" s="1"/>
  <c r="AI20" i="5" s="1"/>
  <c r="AJ20" i="5" s="1"/>
  <c r="S20" i="5"/>
  <c r="R20" i="5"/>
  <c r="AB19" i="5"/>
  <c r="AD19" i="5"/>
  <c r="AE19" i="5" s="1"/>
  <c r="AF19" i="5" s="1"/>
  <c r="AG19" i="5" s="1"/>
  <c r="AI19" i="5" s="1"/>
  <c r="AJ19" i="5" s="1"/>
  <c r="S19" i="5"/>
  <c r="R19" i="5"/>
  <c r="AB18" i="5"/>
  <c r="AD18" i="5"/>
  <c r="AE18" i="5" s="1"/>
  <c r="AF18" i="5" s="1"/>
  <c r="AG18" i="5" s="1"/>
  <c r="AI18" i="5" s="1"/>
  <c r="AJ18" i="5" s="1"/>
  <c r="S18" i="5"/>
  <c r="R18" i="5"/>
  <c r="AB17" i="5"/>
  <c r="AD17" i="5"/>
  <c r="AE17" i="5" s="1"/>
  <c r="AF17" i="5" s="1"/>
  <c r="AG17" i="5" s="1"/>
  <c r="AI17" i="5" s="1"/>
  <c r="AJ17" i="5" s="1"/>
  <c r="S17" i="5"/>
  <c r="R17" i="5"/>
  <c r="AB16" i="5"/>
  <c r="AD16" i="5"/>
  <c r="AE16" i="5" s="1"/>
  <c r="AF16" i="5" s="1"/>
  <c r="AG16" i="5" s="1"/>
  <c r="AI16" i="5" s="1"/>
  <c r="AJ16" i="5" s="1"/>
  <c r="S16" i="5"/>
  <c r="R16" i="5"/>
  <c r="AB15" i="5"/>
  <c r="AD15" i="5"/>
  <c r="AE15" i="5" s="1"/>
  <c r="AF15" i="5" s="1"/>
  <c r="AG15" i="5" s="1"/>
  <c r="AI15" i="5" s="1"/>
  <c r="AJ15" i="5" s="1"/>
  <c r="S15" i="5"/>
  <c r="R15" i="5"/>
  <c r="AB14" i="5"/>
  <c r="AD14" i="5"/>
  <c r="AE14" i="5" s="1"/>
  <c r="AF14" i="5" s="1"/>
  <c r="AG14" i="5" s="1"/>
  <c r="AI14" i="5" s="1"/>
  <c r="AJ14" i="5" s="1"/>
  <c r="R14" i="5"/>
  <c r="S14" i="5"/>
  <c r="AB13" i="5"/>
  <c r="AD13" i="5"/>
  <c r="AE13" i="5" s="1"/>
  <c r="AF13" i="5" s="1"/>
  <c r="AG13" i="5" s="1"/>
  <c r="AI13" i="5" s="1"/>
  <c r="AJ13" i="5" s="1"/>
  <c r="R13" i="5"/>
  <c r="S13" i="5"/>
  <c r="AB11" i="5"/>
  <c r="AD11" i="5"/>
  <c r="AE11" i="5" s="1"/>
  <c r="AF11" i="5" s="1"/>
  <c r="AG11" i="5" s="1"/>
  <c r="AI11" i="5" s="1"/>
  <c r="AJ11" i="5" s="1"/>
  <c r="S11" i="5"/>
  <c r="R11" i="5"/>
  <c r="AB10" i="5"/>
  <c r="AD10" i="5"/>
  <c r="AE10" i="5" s="1"/>
  <c r="AF10" i="5" s="1"/>
  <c r="AG10" i="5" s="1"/>
  <c r="AI10" i="5" s="1"/>
  <c r="AJ10" i="5" s="1"/>
  <c r="S10" i="5"/>
  <c r="R10" i="5"/>
  <c r="AB9" i="5"/>
  <c r="AD9" i="5"/>
  <c r="AE9" i="5" s="1"/>
  <c r="AF9" i="5" s="1"/>
  <c r="AG9" i="5" s="1"/>
  <c r="AI9" i="5" s="1"/>
  <c r="AJ9" i="5" s="1"/>
  <c r="R9" i="5"/>
  <c r="S9" i="5"/>
  <c r="AB8" i="5"/>
  <c r="AD8" i="5"/>
  <c r="AE8" i="5" s="1"/>
  <c r="AF8" i="5" s="1"/>
  <c r="AG8" i="5" s="1"/>
  <c r="AI8" i="5" s="1"/>
  <c r="AJ8" i="5" s="1"/>
  <c r="S8" i="5"/>
  <c r="R8" i="5"/>
  <c r="AB7" i="5"/>
  <c r="AD7" i="5"/>
  <c r="AE7" i="5" s="1"/>
  <c r="AF7" i="5" s="1"/>
  <c r="AG7" i="5" s="1"/>
  <c r="AI7" i="5" s="1"/>
  <c r="AJ7" i="5" s="1"/>
  <c r="S7" i="5"/>
  <c r="R7" i="5"/>
  <c r="AB5" i="5"/>
  <c r="AF5" i="5"/>
  <c r="AG5" i="5" s="1"/>
  <c r="AI5" i="5" s="1"/>
  <c r="AJ5" i="5" s="1"/>
  <c r="S5" i="5"/>
  <c r="R5" i="5"/>
  <c r="AB4" i="5"/>
  <c r="AD4" i="5"/>
  <c r="AE4" i="5" s="1"/>
  <c r="AF4" i="5" s="1"/>
  <c r="AG4" i="5" s="1"/>
  <c r="AI4" i="5" s="1"/>
  <c r="AJ4" i="5" s="1"/>
  <c r="S4" i="5"/>
  <c r="R4" i="5"/>
  <c r="AB3" i="5"/>
  <c r="AD3" i="5"/>
  <c r="AE3" i="5" s="1"/>
  <c r="AF3" i="5" s="1"/>
  <c r="AG3" i="5" s="1"/>
  <c r="AI3" i="5" s="1"/>
  <c r="AJ3" i="5" s="1"/>
  <c r="R3" i="5"/>
  <c r="S3" i="5"/>
  <c r="S109" i="4"/>
  <c r="R109" i="4"/>
  <c r="AB108" i="4"/>
  <c r="AD108" i="4"/>
  <c r="AE108" i="4" s="1"/>
  <c r="AF108" i="4" s="1"/>
  <c r="S108" i="4"/>
  <c r="R108" i="4"/>
  <c r="AB107" i="4"/>
  <c r="AD107" i="4"/>
  <c r="AE107" i="4" s="1"/>
  <c r="AF107" i="4" s="1"/>
  <c r="S107" i="4"/>
  <c r="R107" i="4"/>
  <c r="AB106" i="4"/>
  <c r="AD106" i="4"/>
  <c r="AE106" i="4" s="1"/>
  <c r="AF106" i="4" s="1"/>
  <c r="S106" i="4"/>
  <c r="R106" i="4"/>
  <c r="AB105" i="4"/>
  <c r="AD105" i="4"/>
  <c r="AE105" i="4" s="1"/>
  <c r="AF105" i="4" s="1"/>
  <c r="S105" i="4"/>
  <c r="R105" i="4"/>
  <c r="AB104" i="4"/>
  <c r="AD104" i="4"/>
  <c r="AE104" i="4" s="1"/>
  <c r="AF104" i="4" s="1"/>
  <c r="S104" i="4"/>
  <c r="R104" i="4"/>
  <c r="AB103" i="4"/>
  <c r="AD103" i="4"/>
  <c r="AE103" i="4" s="1"/>
  <c r="AF103" i="4" s="1"/>
  <c r="S103" i="4"/>
  <c r="R103" i="4"/>
  <c r="AB102" i="4"/>
  <c r="AD102" i="4"/>
  <c r="AE102" i="4" s="1"/>
  <c r="AF102" i="4" s="1"/>
  <c r="S102" i="4"/>
  <c r="R102" i="4"/>
  <c r="AB101" i="4"/>
  <c r="AD101" i="4"/>
  <c r="AE101" i="4" s="1"/>
  <c r="AF101" i="4" s="1"/>
  <c r="S101" i="4"/>
  <c r="R101" i="4"/>
  <c r="AB100" i="4"/>
  <c r="AD100" i="4"/>
  <c r="AE100" i="4" s="1"/>
  <c r="AF100" i="4" s="1"/>
  <c r="AG100" i="4" s="1"/>
  <c r="AI100" i="4" s="1"/>
  <c r="AJ100" i="4" s="1"/>
  <c r="S100" i="4"/>
  <c r="R100" i="4"/>
  <c r="AB99" i="4"/>
  <c r="AD99" i="4"/>
  <c r="AE99" i="4" s="1"/>
  <c r="AF99" i="4" s="1"/>
  <c r="AG99" i="4" s="1"/>
  <c r="AI99" i="4" s="1"/>
  <c r="AJ99" i="4" s="1"/>
  <c r="S99" i="4"/>
  <c r="R99" i="4"/>
  <c r="AD98" i="4"/>
  <c r="AE98" i="4" s="1"/>
  <c r="AF98" i="4" s="1"/>
  <c r="AG98" i="4" s="1"/>
  <c r="AI98" i="4" s="1"/>
  <c r="AJ98" i="4" s="1"/>
  <c r="AB98" i="4"/>
  <c r="S98" i="4"/>
  <c r="R98" i="4"/>
  <c r="AB97" i="4"/>
  <c r="AD97" i="4"/>
  <c r="AE97" i="4" s="1"/>
  <c r="AF97" i="4" s="1"/>
  <c r="AG97" i="4" s="1"/>
  <c r="AI97" i="4" s="1"/>
  <c r="AJ97" i="4" s="1"/>
  <c r="R97" i="4"/>
  <c r="S97" i="4"/>
  <c r="AB96" i="4"/>
  <c r="AD96" i="4"/>
  <c r="AE96" i="4" s="1"/>
  <c r="AF96" i="4" s="1"/>
  <c r="AG96" i="4" s="1"/>
  <c r="S96" i="4"/>
  <c r="R96" i="4"/>
  <c r="AD95" i="4"/>
  <c r="AE95" i="4" s="1"/>
  <c r="AF95" i="4" s="1"/>
  <c r="AG95" i="4" s="1"/>
  <c r="AB95" i="4"/>
  <c r="S95" i="4"/>
  <c r="R95" i="4"/>
  <c r="AB94" i="4"/>
  <c r="AD94" i="4"/>
  <c r="AE94" i="4" s="1"/>
  <c r="AF94" i="4" s="1"/>
  <c r="AG94" i="4" s="1"/>
  <c r="AI94" i="4" s="1"/>
  <c r="AJ94" i="4" s="1"/>
  <c r="R94" i="4"/>
  <c r="S94" i="4"/>
  <c r="AB93" i="4"/>
  <c r="AD93" i="4"/>
  <c r="AE93" i="4" s="1"/>
  <c r="AF93" i="4" s="1"/>
  <c r="AG93" i="4" s="1"/>
  <c r="AI93" i="4" s="1"/>
  <c r="AJ93" i="4" s="1"/>
  <c r="S93" i="4"/>
  <c r="R93" i="4"/>
  <c r="AB92" i="4"/>
  <c r="AD92" i="4"/>
  <c r="AE92" i="4" s="1"/>
  <c r="AF92" i="4" s="1"/>
  <c r="AG92" i="4" s="1"/>
  <c r="S92" i="4"/>
  <c r="R92" i="4"/>
  <c r="AD91" i="4"/>
  <c r="AE91" i="4" s="1"/>
  <c r="AF91" i="4" s="1"/>
  <c r="AG91" i="4" s="1"/>
  <c r="AI91" i="4" s="1"/>
  <c r="AJ91" i="4" s="1"/>
  <c r="AB91" i="4"/>
  <c r="R91" i="4"/>
  <c r="S91" i="4"/>
  <c r="AD90" i="4"/>
  <c r="AE90" i="4" s="1"/>
  <c r="AF90" i="4" s="1"/>
  <c r="AG90" i="4" s="1"/>
  <c r="AI90" i="4" s="1"/>
  <c r="AJ90" i="4" s="1"/>
  <c r="AB90" i="4"/>
  <c r="R90" i="4"/>
  <c r="S90" i="4"/>
  <c r="AB89" i="4"/>
  <c r="AD89" i="4"/>
  <c r="AE89" i="4" s="1"/>
  <c r="AF89" i="4" s="1"/>
  <c r="AG89" i="4" s="1"/>
  <c r="AI89" i="4" s="1"/>
  <c r="AJ89" i="4" s="1"/>
  <c r="R89" i="4"/>
  <c r="S89" i="4"/>
  <c r="AD88" i="4"/>
  <c r="AE88" i="4" s="1"/>
  <c r="AF88" i="4" s="1"/>
  <c r="AG88" i="4" s="1"/>
  <c r="AI88" i="4" s="1"/>
  <c r="AJ88" i="4" s="1"/>
  <c r="AB88" i="4"/>
  <c r="R88" i="4"/>
  <c r="S88" i="4"/>
  <c r="AB87" i="4"/>
  <c r="AD87" i="4"/>
  <c r="AE87" i="4" s="1"/>
  <c r="AF87" i="4" s="1"/>
  <c r="AG87" i="4" s="1"/>
  <c r="AI87" i="4" s="1"/>
  <c r="AJ87" i="4" s="1"/>
  <c r="S87" i="4"/>
  <c r="R87" i="4"/>
  <c r="AD86" i="4"/>
  <c r="AE86" i="4" s="1"/>
  <c r="AF86" i="4" s="1"/>
  <c r="AG86" i="4" s="1"/>
  <c r="AB86" i="4"/>
  <c r="R86" i="4"/>
  <c r="S86" i="4"/>
  <c r="AD85" i="4"/>
  <c r="AE85" i="4" s="1"/>
  <c r="AF85" i="4" s="1"/>
  <c r="AG85" i="4" s="1"/>
  <c r="AI85" i="4" s="1"/>
  <c r="AJ85" i="4" s="1"/>
  <c r="AB85" i="4"/>
  <c r="S85" i="4"/>
  <c r="R85" i="4"/>
  <c r="AB84" i="4"/>
  <c r="AD84" i="4"/>
  <c r="AE84" i="4" s="1"/>
  <c r="AF84" i="4" s="1"/>
  <c r="AG84" i="4" s="1"/>
  <c r="AI84" i="4" s="1"/>
  <c r="AJ84" i="4" s="1"/>
  <c r="AB83" i="4"/>
  <c r="AD83" i="4"/>
  <c r="AE83" i="4" s="1"/>
  <c r="AF83" i="4" s="1"/>
  <c r="AG83" i="4" s="1"/>
  <c r="AI83" i="4" s="1"/>
  <c r="AJ83" i="4" s="1"/>
  <c r="R83" i="4"/>
  <c r="S83" i="4"/>
  <c r="AB82" i="4"/>
  <c r="AD82" i="4"/>
  <c r="AE82" i="4" s="1"/>
  <c r="AF82" i="4" s="1"/>
  <c r="S82" i="4"/>
  <c r="R82" i="4"/>
  <c r="AB81" i="4"/>
  <c r="AD81" i="4"/>
  <c r="AE81" i="4" s="1"/>
  <c r="AF81" i="4" s="1"/>
  <c r="R81" i="4"/>
  <c r="S81" i="4"/>
  <c r="AD80" i="4"/>
  <c r="AE80" i="4" s="1"/>
  <c r="AF80" i="4" s="1"/>
  <c r="AB80" i="4"/>
  <c r="S80" i="4"/>
  <c r="R80" i="4"/>
  <c r="AD79" i="4"/>
  <c r="AE79" i="4" s="1"/>
  <c r="AF79" i="4" s="1"/>
  <c r="AB79" i="4"/>
  <c r="S79" i="4"/>
  <c r="R79" i="4"/>
  <c r="AD78" i="4"/>
  <c r="AE78" i="4" s="1"/>
  <c r="AF78" i="4" s="1"/>
  <c r="AB78" i="4"/>
  <c r="R78" i="4"/>
  <c r="S78" i="4"/>
  <c r="AB77" i="4"/>
  <c r="AD77" i="4"/>
  <c r="AE77" i="4" s="1"/>
  <c r="AF77" i="4" s="1"/>
  <c r="S77" i="4"/>
  <c r="R77" i="4"/>
  <c r="AD76" i="4"/>
  <c r="AE76" i="4" s="1"/>
  <c r="AF76" i="4" s="1"/>
  <c r="AB76" i="4"/>
  <c r="R76" i="4"/>
  <c r="S76" i="4"/>
  <c r="AB75" i="4"/>
  <c r="AD75" i="4"/>
  <c r="AE75" i="4" s="1"/>
  <c r="AF75" i="4" s="1"/>
  <c r="R75" i="4"/>
  <c r="S75" i="4"/>
  <c r="AD74" i="4"/>
  <c r="AE74" i="4" s="1"/>
  <c r="AF74" i="4" s="1"/>
  <c r="AB74" i="4"/>
  <c r="R74" i="4"/>
  <c r="S74" i="4"/>
  <c r="AB73" i="4"/>
  <c r="AD73" i="4"/>
  <c r="AE73" i="4" s="1"/>
  <c r="AF73" i="4" s="1"/>
  <c r="S73" i="4"/>
  <c r="R73" i="4"/>
  <c r="AD72" i="4"/>
  <c r="AE72" i="4" s="1"/>
  <c r="AF72" i="4" s="1"/>
  <c r="AB72" i="4"/>
  <c r="R72" i="4"/>
  <c r="S72" i="4"/>
  <c r="AB71" i="4"/>
  <c r="AD71" i="4"/>
  <c r="AE71" i="4" s="1"/>
  <c r="AF71" i="4" s="1"/>
  <c r="R71" i="4"/>
  <c r="S71" i="4"/>
  <c r="AD70" i="4"/>
  <c r="AE70" i="4" s="1"/>
  <c r="AF70" i="4" s="1"/>
  <c r="AB70" i="4"/>
  <c r="R70" i="4"/>
  <c r="S70" i="4"/>
  <c r="AB69" i="4"/>
  <c r="AD69" i="4"/>
  <c r="AE69" i="4" s="1"/>
  <c r="AF69" i="4" s="1"/>
  <c r="R69" i="4"/>
  <c r="S69" i="4"/>
  <c r="AB68" i="4"/>
  <c r="AD68" i="4"/>
  <c r="AE68" i="4" s="1"/>
  <c r="AF68" i="4" s="1"/>
  <c r="R68" i="4"/>
  <c r="S68" i="4"/>
  <c r="AB67" i="4"/>
  <c r="AD67" i="4"/>
  <c r="AE67" i="4" s="1"/>
  <c r="AF67" i="4" s="1"/>
  <c r="R67" i="4"/>
  <c r="S67" i="4"/>
  <c r="AB66" i="4"/>
  <c r="AD66" i="4"/>
  <c r="AE66" i="4" s="1"/>
  <c r="AF66" i="4" s="1"/>
  <c r="R66" i="4"/>
  <c r="S66" i="4"/>
  <c r="AB65" i="4"/>
  <c r="AD65" i="4"/>
  <c r="AE65" i="4" s="1"/>
  <c r="AF65" i="4" s="1"/>
  <c r="R65" i="4"/>
  <c r="S65" i="4"/>
  <c r="AB64" i="4"/>
  <c r="AD64" i="4"/>
  <c r="AE64" i="4" s="1"/>
  <c r="AF64" i="4" s="1"/>
  <c r="S64" i="4"/>
  <c r="R64" i="4"/>
  <c r="AB63" i="4"/>
  <c r="AD63" i="4"/>
  <c r="AE63" i="4" s="1"/>
  <c r="AF63" i="4" s="1"/>
  <c r="S63" i="4"/>
  <c r="R63" i="4"/>
  <c r="AB62" i="4"/>
  <c r="AD62" i="4"/>
  <c r="AE62" i="4" s="1"/>
  <c r="AF62" i="4" s="1"/>
  <c r="S62" i="4"/>
  <c r="R62" i="4"/>
  <c r="AB61" i="4"/>
  <c r="AD61" i="4"/>
  <c r="AE61" i="4" s="1"/>
  <c r="AF61" i="4" s="1"/>
  <c r="S61" i="4"/>
  <c r="R61" i="4"/>
  <c r="AB60" i="4"/>
  <c r="AD60" i="4"/>
  <c r="AE60" i="4" s="1"/>
  <c r="AF60" i="4" s="1"/>
  <c r="S60" i="4"/>
  <c r="R60" i="4"/>
  <c r="AB59" i="4"/>
  <c r="AD59" i="4"/>
  <c r="AE59" i="4" s="1"/>
  <c r="AF59" i="4" s="1"/>
  <c r="S59" i="4"/>
  <c r="R59" i="4"/>
  <c r="AB58" i="4"/>
  <c r="AD58" i="4"/>
  <c r="AE58" i="4" s="1"/>
  <c r="AF58" i="4" s="1"/>
  <c r="S58" i="4"/>
  <c r="R58" i="4"/>
  <c r="AB57" i="4"/>
  <c r="AD57" i="4"/>
  <c r="AE57" i="4" s="1"/>
  <c r="AF57" i="4" s="1"/>
  <c r="S57" i="4"/>
  <c r="R57" i="4"/>
  <c r="AB56" i="4"/>
  <c r="AD56" i="4"/>
  <c r="AE56" i="4" s="1"/>
  <c r="AF56" i="4" s="1"/>
  <c r="S56" i="4"/>
  <c r="R56" i="4"/>
  <c r="AB55" i="4"/>
  <c r="AD55" i="4"/>
  <c r="AE55" i="4" s="1"/>
  <c r="AF55" i="4" s="1"/>
  <c r="S55" i="4"/>
  <c r="R55" i="4"/>
  <c r="AB54" i="4"/>
  <c r="AD54" i="4"/>
  <c r="AE54" i="4" s="1"/>
  <c r="AF54" i="4" s="1"/>
  <c r="R54" i="4"/>
  <c r="S54" i="4"/>
  <c r="AB53" i="4"/>
  <c r="AD53" i="4"/>
  <c r="AE53" i="4" s="1"/>
  <c r="AF53" i="4" s="1"/>
  <c r="R53" i="4"/>
  <c r="S53" i="4"/>
  <c r="AB52" i="4"/>
  <c r="AD52" i="4"/>
  <c r="AE52" i="4" s="1"/>
  <c r="AF52" i="4" s="1"/>
  <c r="R52" i="4"/>
  <c r="S52" i="4"/>
  <c r="AB51" i="4"/>
  <c r="AD51" i="4"/>
  <c r="AE51" i="4" s="1"/>
  <c r="AF51" i="4" s="1"/>
  <c r="R51" i="4"/>
  <c r="S51" i="4"/>
  <c r="AB50" i="4"/>
  <c r="AD50" i="4"/>
  <c r="AE50" i="4" s="1"/>
  <c r="AF50" i="4" s="1"/>
  <c r="R50" i="4"/>
  <c r="S50" i="4"/>
  <c r="AB49" i="4"/>
  <c r="AD49" i="4"/>
  <c r="AE49" i="4" s="1"/>
  <c r="AF49" i="4" s="1"/>
  <c r="R49" i="4"/>
  <c r="S49" i="4"/>
  <c r="AB48" i="4"/>
  <c r="AD48" i="4"/>
  <c r="AE48" i="4" s="1"/>
  <c r="AF48" i="4" s="1"/>
  <c r="R48" i="4"/>
  <c r="S48" i="4"/>
  <c r="AB47" i="4"/>
  <c r="AD47" i="4"/>
  <c r="AE47" i="4" s="1"/>
  <c r="AF47" i="4" s="1"/>
  <c r="R47" i="4"/>
  <c r="S47" i="4"/>
  <c r="AG46" i="4"/>
  <c r="AI46" i="4"/>
  <c r="AJ46" i="4" s="1"/>
  <c r="AG45" i="4"/>
  <c r="AI45" i="4"/>
  <c r="AJ45" i="4" s="1"/>
  <c r="AG44" i="4"/>
  <c r="AI44" i="4"/>
  <c r="AJ44" i="4" s="1"/>
  <c r="AG43" i="4"/>
  <c r="AI43" i="4"/>
  <c r="AJ43" i="4" s="1"/>
  <c r="AG42" i="4"/>
  <c r="AI42" i="4"/>
  <c r="AJ42" i="4" s="1"/>
  <c r="AG41" i="4"/>
  <c r="AI41" i="4"/>
  <c r="AJ41" i="4" s="1"/>
  <c r="AG40" i="4"/>
  <c r="AI40" i="4"/>
  <c r="AJ40" i="4" s="1"/>
  <c r="AG39" i="4"/>
  <c r="AI39" i="4"/>
  <c r="AJ39" i="4" s="1"/>
  <c r="AG38" i="4"/>
  <c r="AI38" i="4"/>
  <c r="AJ38" i="4" s="1"/>
  <c r="AG37" i="4"/>
  <c r="AI37" i="4"/>
  <c r="AJ37" i="4" s="1"/>
  <c r="AG36" i="4"/>
  <c r="AI36" i="4"/>
  <c r="AJ36" i="4" s="1"/>
  <c r="AG35" i="4"/>
  <c r="AI35" i="4"/>
  <c r="AJ35" i="4" s="1"/>
  <c r="AG34" i="4"/>
  <c r="AI34" i="4"/>
  <c r="AJ34" i="4" s="1"/>
  <c r="AG33" i="4"/>
  <c r="AI33" i="4"/>
  <c r="AJ33" i="4" s="1"/>
  <c r="AG32" i="4"/>
  <c r="AI32" i="4"/>
  <c r="AJ32" i="4" s="1"/>
  <c r="AG31" i="4"/>
  <c r="AI31" i="4"/>
  <c r="AJ31" i="4" s="1"/>
  <c r="AG30" i="4"/>
  <c r="AI30" i="4"/>
  <c r="AJ30" i="4" s="1"/>
  <c r="AG29" i="4"/>
  <c r="AI29" i="4"/>
  <c r="AJ29" i="4" s="1"/>
  <c r="AB28" i="4"/>
  <c r="AD28" i="4"/>
  <c r="AE28" i="4" s="1"/>
  <c r="AF28" i="4" s="1"/>
  <c r="AG28" i="4" s="1"/>
  <c r="AI28" i="4" s="1"/>
  <c r="AJ28" i="4" s="1"/>
  <c r="S28" i="4"/>
  <c r="R28" i="4"/>
  <c r="AB27" i="4"/>
  <c r="AD27" i="4"/>
  <c r="AE27" i="4" s="1"/>
  <c r="AF27" i="4" s="1"/>
  <c r="AG27" i="4" s="1"/>
  <c r="AI27" i="4" s="1"/>
  <c r="AJ27" i="4" s="1"/>
  <c r="R27" i="4"/>
  <c r="S27" i="4"/>
  <c r="AB26" i="4"/>
  <c r="AD26" i="4"/>
  <c r="AE26" i="4" s="1"/>
  <c r="AF26" i="4" s="1"/>
  <c r="AG26" i="4" s="1"/>
  <c r="AI26" i="4" s="1"/>
  <c r="AJ26" i="4" s="1"/>
  <c r="R26" i="4"/>
  <c r="S26" i="4"/>
  <c r="AB25" i="4"/>
  <c r="AD25" i="4"/>
  <c r="AE25" i="4" s="1"/>
  <c r="AF25" i="4" s="1"/>
  <c r="AG25" i="4" s="1"/>
  <c r="AI25" i="4" s="1"/>
  <c r="AJ25" i="4" s="1"/>
  <c r="R25" i="4"/>
  <c r="S25" i="4"/>
  <c r="AB24" i="4"/>
  <c r="AD24" i="4"/>
  <c r="AE24" i="4" s="1"/>
  <c r="AF24" i="4" s="1"/>
  <c r="AG24" i="4" s="1"/>
  <c r="AI24" i="4" s="1"/>
  <c r="AJ24" i="4" s="1"/>
  <c r="R24" i="4"/>
  <c r="S24" i="4"/>
  <c r="AB23" i="4"/>
  <c r="AD23" i="4"/>
  <c r="AE23" i="4" s="1"/>
  <c r="AF23" i="4" s="1"/>
  <c r="AG23" i="4" s="1"/>
  <c r="AI23" i="4" s="1"/>
  <c r="AJ23" i="4" s="1"/>
  <c r="R23" i="4"/>
  <c r="S23" i="4"/>
  <c r="AB22" i="4"/>
  <c r="AD22" i="4"/>
  <c r="AE22" i="4" s="1"/>
  <c r="AF22" i="4" s="1"/>
  <c r="AG22" i="4" s="1"/>
  <c r="AI22" i="4" s="1"/>
  <c r="AJ22" i="4" s="1"/>
  <c r="S22" i="4"/>
  <c r="R22" i="4"/>
  <c r="AB20" i="4"/>
  <c r="AD20" i="4"/>
  <c r="AE20" i="4" s="1"/>
  <c r="AF20" i="4" s="1"/>
  <c r="AG20" i="4" s="1"/>
  <c r="AI20" i="4" s="1"/>
  <c r="AJ20" i="4" s="1"/>
  <c r="R20" i="4"/>
  <c r="S20" i="4"/>
  <c r="AB19" i="4"/>
  <c r="AD19" i="4"/>
  <c r="AE19" i="4" s="1"/>
  <c r="AF19" i="4" s="1"/>
  <c r="AG19" i="4" s="1"/>
  <c r="AI19" i="4" s="1"/>
  <c r="AJ19" i="4" s="1"/>
  <c r="R19" i="4"/>
  <c r="S19" i="4"/>
  <c r="AB18" i="4"/>
  <c r="AD18" i="4"/>
  <c r="AE18" i="4" s="1"/>
  <c r="AF18" i="4" s="1"/>
  <c r="AG18" i="4" s="1"/>
  <c r="AI18" i="4" s="1"/>
  <c r="AJ18" i="4" s="1"/>
  <c r="R18" i="4"/>
  <c r="S18" i="4"/>
  <c r="AB17" i="4"/>
  <c r="AD17" i="4"/>
  <c r="AE17" i="4" s="1"/>
  <c r="AF17" i="4" s="1"/>
  <c r="AG17" i="4" s="1"/>
  <c r="AI17" i="4" s="1"/>
  <c r="AJ17" i="4" s="1"/>
  <c r="R17" i="4"/>
  <c r="S17" i="4"/>
  <c r="AB16" i="4"/>
  <c r="AD16" i="4"/>
  <c r="AE16" i="4" s="1"/>
  <c r="AF16" i="4" s="1"/>
  <c r="AG16" i="4" s="1"/>
  <c r="AI16" i="4" s="1"/>
  <c r="AJ16" i="4" s="1"/>
  <c r="R16" i="4"/>
  <c r="S16" i="4"/>
  <c r="AB15" i="4"/>
  <c r="AD15" i="4"/>
  <c r="AE15" i="4" s="1"/>
  <c r="AF15" i="4" s="1"/>
  <c r="AG15" i="4" s="1"/>
  <c r="AI15" i="4" s="1"/>
  <c r="AJ15" i="4" s="1"/>
  <c r="S15" i="4"/>
  <c r="R15" i="4"/>
  <c r="AB14" i="4"/>
  <c r="AD14" i="4"/>
  <c r="AE14" i="4" s="1"/>
  <c r="AF14" i="4" s="1"/>
  <c r="AG14" i="4" s="1"/>
  <c r="AI14" i="4" s="1"/>
  <c r="AJ14" i="4" s="1"/>
  <c r="S14" i="4"/>
  <c r="R14" i="4"/>
  <c r="AB13" i="4"/>
  <c r="AD13" i="4"/>
  <c r="AE13" i="4" s="1"/>
  <c r="AF13" i="4" s="1"/>
  <c r="AG13" i="4" s="1"/>
  <c r="AI13" i="4" s="1"/>
  <c r="AJ13" i="4" s="1"/>
  <c r="S13" i="4"/>
  <c r="R13" i="4"/>
  <c r="AB11" i="4"/>
  <c r="AD11" i="4"/>
  <c r="AE11" i="4" s="1"/>
  <c r="AF11" i="4" s="1"/>
  <c r="AG11" i="4" s="1"/>
  <c r="AI11" i="4" s="1"/>
  <c r="AJ11" i="4" s="1"/>
  <c r="S11" i="4"/>
  <c r="R11" i="4"/>
  <c r="AB10" i="4"/>
  <c r="AD10" i="4"/>
  <c r="AE10" i="4" s="1"/>
  <c r="AF10" i="4" s="1"/>
  <c r="AG10" i="4" s="1"/>
  <c r="AI10" i="4" s="1"/>
  <c r="AJ10" i="4" s="1"/>
  <c r="S10" i="4"/>
  <c r="R10" i="4"/>
  <c r="AB9" i="4"/>
  <c r="AD9" i="4"/>
  <c r="AE9" i="4" s="1"/>
  <c r="AF9" i="4" s="1"/>
  <c r="AG9" i="4" s="1"/>
  <c r="AI9" i="4" s="1"/>
  <c r="AJ9" i="4" s="1"/>
  <c r="R9" i="4"/>
  <c r="S9" i="4"/>
  <c r="AB8" i="4"/>
  <c r="AD8" i="4"/>
  <c r="AE8" i="4" s="1"/>
  <c r="AF8" i="4" s="1"/>
  <c r="AG8" i="4" s="1"/>
  <c r="AI8" i="4" s="1"/>
  <c r="AJ8" i="4" s="1"/>
  <c r="S8" i="4"/>
  <c r="R8" i="4"/>
  <c r="AB7" i="4"/>
  <c r="AD7" i="4"/>
  <c r="AE7" i="4" s="1"/>
  <c r="AF7" i="4" s="1"/>
  <c r="AG7" i="4" s="1"/>
  <c r="AI7" i="4" s="1"/>
  <c r="AJ7" i="4" s="1"/>
  <c r="S7" i="4"/>
  <c r="R7" i="4"/>
  <c r="AB5" i="4"/>
  <c r="AD5" i="4"/>
  <c r="AE5" i="4" s="1"/>
  <c r="AF5" i="4" s="1"/>
  <c r="AG5" i="4" s="1"/>
  <c r="AI5" i="4" s="1"/>
  <c r="AJ5" i="4" s="1"/>
  <c r="S5" i="4"/>
  <c r="R5" i="4"/>
  <c r="AB4" i="4"/>
  <c r="AD4" i="4"/>
  <c r="AE4" i="4" s="1"/>
  <c r="AF4" i="4" s="1"/>
  <c r="AG4" i="4" s="1"/>
  <c r="AI4" i="4" s="1"/>
  <c r="AJ4" i="4" s="1"/>
  <c r="S4" i="4"/>
  <c r="R4" i="4"/>
  <c r="AB3" i="4"/>
  <c r="AD3" i="4"/>
  <c r="AE3" i="4" s="1"/>
  <c r="AF3" i="4" s="1"/>
  <c r="AG3" i="4" s="1"/>
  <c r="AI3" i="4" s="1"/>
  <c r="AJ3" i="4" s="1"/>
  <c r="S3" i="4"/>
  <c r="R3" i="4"/>
  <c r="T109" i="2"/>
  <c r="S109" i="2"/>
  <c r="AC108" i="2"/>
  <c r="AF108" i="2"/>
  <c r="AG108" i="2" s="1"/>
  <c r="AH108" i="2" s="1"/>
  <c r="T108" i="2"/>
  <c r="S108" i="2"/>
  <c r="AC107" i="2"/>
  <c r="AF107" i="2"/>
  <c r="AG107" i="2" s="1"/>
  <c r="AH107" i="2" s="1"/>
  <c r="T107" i="2"/>
  <c r="S107" i="2"/>
  <c r="AC106" i="2"/>
  <c r="AF106" i="2"/>
  <c r="AG106" i="2" s="1"/>
  <c r="AH106" i="2" s="1"/>
  <c r="T106" i="2"/>
  <c r="S106" i="2"/>
  <c r="AC105" i="2"/>
  <c r="AF105" i="2"/>
  <c r="AG105" i="2" s="1"/>
  <c r="AH105" i="2" s="1"/>
  <c r="T105" i="2"/>
  <c r="S105" i="2"/>
  <c r="AC104" i="2"/>
  <c r="AF104" i="2"/>
  <c r="AG104" i="2" s="1"/>
  <c r="AH104" i="2" s="1"/>
  <c r="T104" i="2"/>
  <c r="S104" i="2"/>
  <c r="AC103" i="2"/>
  <c r="AF103" i="2"/>
  <c r="AG103" i="2" s="1"/>
  <c r="AH103" i="2" s="1"/>
  <c r="T103" i="2"/>
  <c r="S103" i="2"/>
  <c r="AC102" i="2"/>
  <c r="AF102" i="2"/>
  <c r="AG102" i="2" s="1"/>
  <c r="AH102" i="2" s="1"/>
  <c r="T102" i="2"/>
  <c r="S102" i="2"/>
  <c r="AC101" i="2"/>
  <c r="AF101" i="2"/>
  <c r="AG101" i="2" s="1"/>
  <c r="AH101" i="2" s="1"/>
  <c r="T101" i="2"/>
  <c r="S101" i="2"/>
  <c r="AC97" i="2"/>
  <c r="AF97" i="2"/>
  <c r="AG97" i="2" s="1"/>
  <c r="AH97" i="2" s="1"/>
  <c r="AI97" i="2" s="1"/>
  <c r="AK97" i="2" s="1"/>
  <c r="AL97" i="2" s="1"/>
  <c r="T97" i="2"/>
  <c r="S97" i="2"/>
  <c r="AC96" i="2"/>
  <c r="AF96" i="2"/>
  <c r="AG96" i="2" s="1"/>
  <c r="AH96" i="2" s="1"/>
  <c r="AI96" i="2" s="1"/>
  <c r="T96" i="2"/>
  <c r="S96" i="2"/>
  <c r="AC95" i="2"/>
  <c r="AF95" i="2"/>
  <c r="AG95" i="2" s="1"/>
  <c r="AH95" i="2" s="1"/>
  <c r="AI95" i="2" s="1"/>
  <c r="T95" i="2"/>
  <c r="S95" i="2"/>
  <c r="AC94" i="2"/>
  <c r="AF94" i="2"/>
  <c r="AG94" i="2" s="1"/>
  <c r="AH94" i="2" s="1"/>
  <c r="AI94" i="2" s="1"/>
  <c r="AK94" i="2" s="1"/>
  <c r="AL94" i="2" s="1"/>
  <c r="T94" i="2"/>
  <c r="S94" i="2"/>
  <c r="AC93" i="2"/>
  <c r="AF93" i="2"/>
  <c r="AG93" i="2" s="1"/>
  <c r="AH93" i="2" s="1"/>
  <c r="AI93" i="2" s="1"/>
  <c r="AK93" i="2" s="1"/>
  <c r="AL93" i="2" s="1"/>
  <c r="S93" i="2"/>
  <c r="T93" i="2"/>
  <c r="AC92" i="2"/>
  <c r="AF92" i="2"/>
  <c r="AG92" i="2" s="1"/>
  <c r="AH92" i="2" s="1"/>
  <c r="AI92" i="2" s="1"/>
  <c r="AK92" i="2" s="1"/>
  <c r="AL92" i="2" s="1"/>
  <c r="T92" i="2"/>
  <c r="S92" i="2"/>
  <c r="AC91" i="2"/>
  <c r="AF91" i="2"/>
  <c r="AG91" i="2" s="1"/>
  <c r="AH91" i="2" s="1"/>
  <c r="AI91" i="2" s="1"/>
  <c r="AK91" i="2" s="1"/>
  <c r="AL91" i="2" s="1"/>
  <c r="S91" i="2"/>
  <c r="T91" i="2"/>
  <c r="AC90" i="2"/>
  <c r="AF90" i="2"/>
  <c r="AG90" i="2" s="1"/>
  <c r="AH90" i="2" s="1"/>
  <c r="AI90" i="2" s="1"/>
  <c r="AK90" i="2" s="1"/>
  <c r="AL90" i="2" s="1"/>
  <c r="T90" i="2"/>
  <c r="S90" i="2"/>
  <c r="AC89" i="2"/>
  <c r="AF89" i="2"/>
  <c r="AG89" i="2" s="1"/>
  <c r="AH89" i="2" s="1"/>
  <c r="AI89" i="2" s="1"/>
  <c r="T89" i="2"/>
  <c r="S89" i="2"/>
  <c r="AC88" i="2"/>
  <c r="AF88" i="2"/>
  <c r="AG88" i="2" s="1"/>
  <c r="AH88" i="2" s="1"/>
  <c r="AI88" i="2" s="1"/>
  <c r="AK88" i="2" s="1"/>
  <c r="AL88" i="2" s="1"/>
  <c r="S88" i="2"/>
  <c r="T88" i="2"/>
  <c r="AC87" i="2"/>
  <c r="AF87" i="2"/>
  <c r="AG87" i="2" s="1"/>
  <c r="AH87" i="2" s="1"/>
  <c r="AI87" i="2" s="1"/>
  <c r="AK87" i="2" s="1"/>
  <c r="AL87" i="2" s="1"/>
  <c r="T87" i="2"/>
  <c r="S87" i="2"/>
  <c r="AF86" i="2"/>
  <c r="AG86" i="2" s="1"/>
  <c r="AH86" i="2" s="1"/>
  <c r="AI86" i="2" s="1"/>
  <c r="AC86" i="2"/>
  <c r="S86" i="2"/>
  <c r="T86" i="2"/>
  <c r="AC85" i="2"/>
  <c r="AF85" i="2"/>
  <c r="AG85" i="2" s="1"/>
  <c r="AH85" i="2" s="1"/>
  <c r="AI85" i="2" s="1"/>
  <c r="AK85" i="2" s="1"/>
  <c r="AL85" i="2" s="1"/>
  <c r="S85" i="2"/>
  <c r="T85" i="2"/>
  <c r="AF84" i="2"/>
  <c r="AG84" i="2" s="1"/>
  <c r="AH84" i="2" s="1"/>
  <c r="AI84" i="2" s="1"/>
  <c r="AK84" i="2" s="1"/>
  <c r="AL84" i="2" s="1"/>
  <c r="AC84" i="2"/>
  <c r="S84" i="2"/>
  <c r="T84" i="2"/>
  <c r="AF83" i="2"/>
  <c r="AG83" i="2" s="1"/>
  <c r="AH83" i="2" s="1"/>
  <c r="AI83" i="2" s="1"/>
  <c r="AK83" i="2" s="1"/>
  <c r="AL83" i="2" s="1"/>
  <c r="AC83" i="2"/>
  <c r="T83" i="2"/>
  <c r="S83" i="2"/>
  <c r="AC82" i="2"/>
  <c r="AF82" i="2"/>
  <c r="AG82" i="2" s="1"/>
  <c r="AH82" i="2" s="1"/>
  <c r="T82" i="2"/>
  <c r="S82" i="2"/>
  <c r="AF81" i="2"/>
  <c r="AG81" i="2" s="1"/>
  <c r="AH81" i="2" s="1"/>
  <c r="AC81" i="2"/>
  <c r="S81" i="2"/>
  <c r="T81" i="2"/>
  <c r="AF80" i="2"/>
  <c r="AG80" i="2" s="1"/>
  <c r="AH80" i="2" s="1"/>
  <c r="AC80" i="2"/>
  <c r="S80" i="2"/>
  <c r="T80" i="2"/>
  <c r="AC79" i="2"/>
  <c r="AF79" i="2"/>
  <c r="AG79" i="2" s="1"/>
  <c r="AH79" i="2" s="1"/>
  <c r="T79" i="2"/>
  <c r="S79" i="2"/>
  <c r="AC78" i="2"/>
  <c r="AF78" i="2"/>
  <c r="AG78" i="2" s="1"/>
  <c r="AH78" i="2" s="1"/>
  <c r="T78" i="2"/>
  <c r="S78" i="2"/>
  <c r="AC77" i="2"/>
  <c r="AF77" i="2"/>
  <c r="AG77" i="2" s="1"/>
  <c r="AH77" i="2" s="1"/>
  <c r="S77" i="2"/>
  <c r="T77" i="2"/>
  <c r="AF76" i="2"/>
  <c r="AG76" i="2" s="1"/>
  <c r="AH76" i="2" s="1"/>
  <c r="AC76" i="2"/>
  <c r="S76" i="2"/>
  <c r="T76" i="2"/>
  <c r="AC75" i="2"/>
  <c r="AF75" i="2"/>
  <c r="AG75" i="2" s="1"/>
  <c r="AH75" i="2" s="1"/>
  <c r="T75" i="2"/>
  <c r="S75" i="2"/>
  <c r="AC74" i="2"/>
  <c r="AF74" i="2"/>
  <c r="AG74" i="2" s="1"/>
  <c r="AH74" i="2" s="1"/>
  <c r="S74" i="2"/>
  <c r="T74" i="2"/>
  <c r="AC73" i="2"/>
  <c r="AF73" i="2"/>
  <c r="AG73" i="2" s="1"/>
  <c r="AH73" i="2" s="1"/>
  <c r="S73" i="2"/>
  <c r="T73" i="2"/>
  <c r="AC72" i="2"/>
  <c r="AF72" i="2"/>
  <c r="AG72" i="2" s="1"/>
  <c r="AH72" i="2" s="1"/>
  <c r="S72" i="2"/>
  <c r="T72" i="2"/>
  <c r="AC71" i="2"/>
  <c r="AF71" i="2"/>
  <c r="AG71" i="2" s="1"/>
  <c r="AH71" i="2" s="1"/>
  <c r="T71" i="2"/>
  <c r="S71" i="2"/>
  <c r="AC70" i="2"/>
  <c r="AF70" i="2"/>
  <c r="AG70" i="2" s="1"/>
  <c r="AH70" i="2" s="1"/>
  <c r="T70" i="2"/>
  <c r="S70" i="2"/>
  <c r="AC69" i="2"/>
  <c r="AF69" i="2"/>
  <c r="AG69" i="2" s="1"/>
  <c r="AH69" i="2" s="1"/>
  <c r="S69" i="2"/>
  <c r="T69" i="2"/>
  <c r="AC68" i="2"/>
  <c r="AF68" i="2"/>
  <c r="AG68" i="2" s="1"/>
  <c r="AH68" i="2" s="1"/>
  <c r="T68" i="2"/>
  <c r="S68" i="2"/>
  <c r="AC67" i="2"/>
  <c r="AF67" i="2"/>
  <c r="AG67" i="2" s="1"/>
  <c r="AH67" i="2" s="1"/>
  <c r="S67" i="2"/>
  <c r="T67" i="2"/>
  <c r="AC66" i="2"/>
  <c r="AF66" i="2"/>
  <c r="AG66" i="2" s="1"/>
  <c r="AH66" i="2" s="1"/>
  <c r="T66" i="2"/>
  <c r="S66" i="2"/>
  <c r="AC65" i="2"/>
  <c r="AF65" i="2"/>
  <c r="AG65" i="2" s="1"/>
  <c r="AH65" i="2" s="1"/>
  <c r="S65" i="2"/>
  <c r="T65" i="2"/>
  <c r="AC64" i="2"/>
  <c r="AF64" i="2"/>
  <c r="AG64" i="2" s="1"/>
  <c r="AH64" i="2" s="1"/>
  <c r="S64" i="2"/>
  <c r="T64" i="2"/>
  <c r="AC63" i="2"/>
  <c r="AF63" i="2"/>
  <c r="AG63" i="2" s="1"/>
  <c r="AH63" i="2" s="1"/>
  <c r="T63" i="2"/>
  <c r="S63" i="2"/>
  <c r="AC62" i="2"/>
  <c r="AF62" i="2"/>
  <c r="AG62" i="2" s="1"/>
  <c r="AH62" i="2" s="1"/>
  <c r="T62" i="2"/>
  <c r="S62" i="2"/>
  <c r="AC61" i="2"/>
  <c r="AF61" i="2"/>
  <c r="AG61" i="2" s="1"/>
  <c r="AH61" i="2" s="1"/>
  <c r="T61" i="2"/>
  <c r="S61" i="2"/>
  <c r="AF60" i="2"/>
  <c r="AG60" i="2" s="1"/>
  <c r="AH60" i="2" s="1"/>
  <c r="AC60" i="2"/>
  <c r="S60" i="2"/>
  <c r="T60" i="2"/>
  <c r="AF59" i="2"/>
  <c r="AG59" i="2" s="1"/>
  <c r="AH59" i="2" s="1"/>
  <c r="AC59" i="2"/>
  <c r="T59" i="2"/>
  <c r="S59" i="2"/>
  <c r="AC58" i="2"/>
  <c r="AF58" i="2"/>
  <c r="AG58" i="2" s="1"/>
  <c r="AH58" i="2" s="1"/>
  <c r="S58" i="2"/>
  <c r="T58" i="2"/>
  <c r="AF57" i="2"/>
  <c r="AG57" i="2" s="1"/>
  <c r="AH57" i="2" s="1"/>
  <c r="AC57" i="2"/>
  <c r="T57" i="2"/>
  <c r="S57" i="2"/>
  <c r="AC56" i="2"/>
  <c r="AF56" i="2"/>
  <c r="AG56" i="2" s="1"/>
  <c r="AH56" i="2" s="1"/>
  <c r="S56" i="2"/>
  <c r="T56" i="2"/>
  <c r="AC55" i="2"/>
  <c r="AF55" i="2"/>
  <c r="AG55" i="2" s="1"/>
  <c r="AH55" i="2" s="1"/>
  <c r="S55" i="2"/>
  <c r="T55" i="2"/>
  <c r="AC54" i="2"/>
  <c r="AF54" i="2"/>
  <c r="AG54" i="2" s="1"/>
  <c r="AH54" i="2" s="1"/>
  <c r="S54" i="2"/>
  <c r="T54" i="2"/>
  <c r="AC53" i="2"/>
  <c r="AF53" i="2"/>
  <c r="AG53" i="2" s="1"/>
  <c r="AH53" i="2" s="1"/>
  <c r="S53" i="2"/>
  <c r="T53" i="2"/>
  <c r="AC52" i="2"/>
  <c r="AF52" i="2"/>
  <c r="AG52" i="2" s="1"/>
  <c r="AH52" i="2" s="1"/>
  <c r="S52" i="2"/>
  <c r="T52" i="2"/>
  <c r="AF51" i="2"/>
  <c r="AG51" i="2" s="1"/>
  <c r="AH51" i="2" s="1"/>
  <c r="AC51" i="2"/>
  <c r="T51" i="2"/>
  <c r="S51" i="2"/>
  <c r="AC50" i="2"/>
  <c r="AF50" i="2"/>
  <c r="AG50" i="2" s="1"/>
  <c r="AH50" i="2" s="1"/>
  <c r="T50" i="2"/>
  <c r="S50" i="2"/>
  <c r="AF49" i="2"/>
  <c r="AG49" i="2" s="1"/>
  <c r="AH49" i="2" s="1"/>
  <c r="AC49" i="2"/>
  <c r="S49" i="2"/>
  <c r="T49" i="2"/>
  <c r="AC48" i="2"/>
  <c r="AF48" i="2"/>
  <c r="AG48" i="2" s="1"/>
  <c r="AH48" i="2" s="1"/>
  <c r="T48" i="2"/>
  <c r="S48" i="2"/>
  <c r="AF47" i="2"/>
  <c r="AG47" i="2" s="1"/>
  <c r="AH47" i="2" s="1"/>
  <c r="AC47" i="2"/>
  <c r="S47" i="2"/>
  <c r="T47" i="2"/>
  <c r="AC28" i="2"/>
  <c r="AF28" i="2"/>
  <c r="AG28" i="2" s="1"/>
  <c r="AH28" i="2" s="1"/>
  <c r="AI28" i="2" s="1"/>
  <c r="AK28" i="2" s="1"/>
  <c r="T28" i="2"/>
  <c r="S28" i="2"/>
  <c r="AC27" i="2"/>
  <c r="AF27" i="2"/>
  <c r="AG27" i="2" s="1"/>
  <c r="AH27" i="2" s="1"/>
  <c r="AI27" i="2" s="1"/>
  <c r="AK27" i="2" s="1"/>
  <c r="T27" i="2"/>
  <c r="S27" i="2"/>
  <c r="AC26" i="2"/>
  <c r="AF26" i="2"/>
  <c r="AG26" i="2" s="1"/>
  <c r="AH26" i="2" s="1"/>
  <c r="AI26" i="2" s="1"/>
  <c r="AK26" i="2" s="1"/>
  <c r="S26" i="2"/>
  <c r="T26" i="2"/>
  <c r="AC25" i="2"/>
  <c r="AF25" i="2"/>
  <c r="AG25" i="2" s="1"/>
  <c r="AH25" i="2" s="1"/>
  <c r="AI25" i="2" s="1"/>
  <c r="AK25" i="2" s="1"/>
  <c r="T25" i="2"/>
  <c r="S25" i="2"/>
  <c r="AC24" i="2"/>
  <c r="AF24" i="2"/>
  <c r="AG24" i="2" s="1"/>
  <c r="AH24" i="2" s="1"/>
  <c r="AI24" i="2" s="1"/>
  <c r="AK24" i="2" s="1"/>
  <c r="T24" i="2"/>
  <c r="S24" i="2"/>
  <c r="AC23" i="2"/>
  <c r="AF23" i="2"/>
  <c r="AG23" i="2" s="1"/>
  <c r="AH23" i="2" s="1"/>
  <c r="AI23" i="2" s="1"/>
  <c r="AK23" i="2" s="1"/>
  <c r="T23" i="2"/>
  <c r="S23" i="2"/>
  <c r="AC22" i="2"/>
  <c r="AF22" i="2"/>
  <c r="AG22" i="2" s="1"/>
  <c r="AH22" i="2" s="1"/>
  <c r="AI22" i="2" s="1"/>
  <c r="AK22" i="2" s="1"/>
  <c r="T22" i="2"/>
  <c r="S22" i="2"/>
  <c r="AC20" i="2"/>
  <c r="AF20" i="2"/>
  <c r="AG20" i="2" s="1"/>
  <c r="AH20" i="2" s="1"/>
  <c r="AI20" i="2" s="1"/>
  <c r="AK20" i="2" s="1"/>
  <c r="T20" i="2"/>
  <c r="S20" i="2"/>
  <c r="AC19" i="2"/>
  <c r="AF19" i="2"/>
  <c r="AG19" i="2" s="1"/>
  <c r="AH19" i="2" s="1"/>
  <c r="AI19" i="2" s="1"/>
  <c r="AK19" i="2" s="1"/>
  <c r="S19" i="2"/>
  <c r="T19" i="2"/>
  <c r="AC18" i="2"/>
  <c r="AF18" i="2"/>
  <c r="AG18" i="2" s="1"/>
  <c r="AH18" i="2" s="1"/>
  <c r="AI18" i="2" s="1"/>
  <c r="AK18" i="2" s="1"/>
  <c r="T18" i="2"/>
  <c r="S18" i="2"/>
  <c r="AC17" i="2"/>
  <c r="AF17" i="2"/>
  <c r="AG17" i="2" s="1"/>
  <c r="AH17" i="2" s="1"/>
  <c r="AI17" i="2" s="1"/>
  <c r="AK17" i="2" s="1"/>
  <c r="T17" i="2"/>
  <c r="S17" i="2"/>
  <c r="AC16" i="2"/>
  <c r="AF16" i="2"/>
  <c r="AG16" i="2" s="1"/>
  <c r="AH16" i="2" s="1"/>
  <c r="AI16" i="2" s="1"/>
  <c r="AK16" i="2" s="1"/>
  <c r="T16" i="2"/>
  <c r="S16" i="2"/>
  <c r="AC15" i="2"/>
  <c r="AF15" i="2"/>
  <c r="AG15" i="2" s="1"/>
  <c r="AH15" i="2" s="1"/>
  <c r="AI15" i="2" s="1"/>
  <c r="AK15" i="2" s="1"/>
  <c r="T15" i="2"/>
  <c r="S15" i="2"/>
  <c r="AC14" i="2"/>
  <c r="AF14" i="2"/>
  <c r="AG14" i="2" s="1"/>
  <c r="AH14" i="2" s="1"/>
  <c r="AI14" i="2" s="1"/>
  <c r="AK14" i="2" s="1"/>
  <c r="T14" i="2"/>
  <c r="S14" i="2"/>
  <c r="AC13" i="2"/>
  <c r="AF13" i="2"/>
  <c r="AG13" i="2" s="1"/>
  <c r="AH13" i="2" s="1"/>
  <c r="AI13" i="2" s="1"/>
  <c r="AK13" i="2" s="1"/>
  <c r="T13" i="2"/>
  <c r="S13" i="2"/>
  <c r="AC11" i="2"/>
  <c r="AF11" i="2"/>
  <c r="AG11" i="2" s="1"/>
  <c r="AH11" i="2" s="1"/>
  <c r="AI11" i="2" s="1"/>
  <c r="AK11" i="2" s="1"/>
  <c r="T11" i="2"/>
  <c r="S11" i="2"/>
  <c r="AC10" i="2"/>
  <c r="AF10" i="2"/>
  <c r="AG10" i="2" s="1"/>
  <c r="AH10" i="2" s="1"/>
  <c r="AI10" i="2" s="1"/>
  <c r="AK10" i="2" s="1"/>
  <c r="T10" i="2"/>
  <c r="S10" i="2"/>
  <c r="AC9" i="2"/>
  <c r="AF9" i="2"/>
  <c r="AG9" i="2" s="1"/>
  <c r="AH9" i="2" s="1"/>
  <c r="AI9" i="2" s="1"/>
  <c r="AK9" i="2" s="1"/>
  <c r="S9" i="2"/>
  <c r="T9" i="2"/>
  <c r="AC8" i="2"/>
  <c r="AF8" i="2"/>
  <c r="AG8" i="2" s="1"/>
  <c r="AH8" i="2" s="1"/>
  <c r="AI8" i="2" s="1"/>
  <c r="AK8" i="2" s="1"/>
  <c r="S8" i="2"/>
  <c r="T8" i="2"/>
  <c r="AC7" i="2"/>
  <c r="AF7" i="2"/>
  <c r="AG7" i="2" s="1"/>
  <c r="AH7" i="2" s="1"/>
  <c r="AI7" i="2" s="1"/>
  <c r="AK7" i="2" s="1"/>
  <c r="S7" i="2"/>
  <c r="T7" i="2"/>
  <c r="AC5" i="2"/>
  <c r="AF5" i="2"/>
  <c r="AG5" i="2" s="1"/>
  <c r="AH5" i="2" s="1"/>
  <c r="AI5" i="2" s="1"/>
  <c r="AK5" i="2" s="1"/>
  <c r="S5" i="2"/>
  <c r="T5" i="2"/>
  <c r="AC4" i="2"/>
  <c r="AF4" i="2"/>
  <c r="AG4" i="2" s="1"/>
  <c r="AH4" i="2" s="1"/>
  <c r="AI4" i="2" s="1"/>
  <c r="AK4" i="2" s="1"/>
  <c r="T4" i="2"/>
  <c r="S4" i="2"/>
  <c r="AC3" i="2"/>
  <c r="AF3" i="2"/>
  <c r="AG3" i="2" s="1"/>
  <c r="AH3" i="2" s="1"/>
  <c r="AI3" i="2" s="1"/>
  <c r="AK3" i="2" s="1"/>
  <c r="AL3" i="2" s="1"/>
  <c r="S3" i="2"/>
  <c r="T3" i="2"/>
  <c r="R109" i="1"/>
  <c r="S109" i="1"/>
  <c r="AB108" i="1"/>
  <c r="AD108" i="1"/>
  <c r="AE108" i="1" s="1"/>
  <c r="AF108" i="1" s="1"/>
  <c r="S108" i="1"/>
  <c r="R108" i="1"/>
  <c r="AB107" i="1"/>
  <c r="AD107" i="1"/>
  <c r="AE107" i="1" s="1"/>
  <c r="AF107" i="1" s="1"/>
  <c r="S107" i="1"/>
  <c r="R107" i="1"/>
  <c r="AB106" i="1"/>
  <c r="AD106" i="1"/>
  <c r="AE106" i="1" s="1"/>
  <c r="AF106" i="1" s="1"/>
  <c r="S106" i="1"/>
  <c r="R106" i="1"/>
  <c r="AB105" i="1"/>
  <c r="AD105" i="1"/>
  <c r="AE105" i="1" s="1"/>
  <c r="AF105" i="1" s="1"/>
  <c r="R105" i="1"/>
  <c r="S105" i="1"/>
  <c r="AD104" i="1"/>
  <c r="AE104" i="1" s="1"/>
  <c r="AF104" i="1" s="1"/>
  <c r="AB104" i="1"/>
  <c r="R104" i="1"/>
  <c r="S104" i="1"/>
  <c r="AD103" i="1"/>
  <c r="AE103" i="1" s="1"/>
  <c r="AF103" i="1" s="1"/>
  <c r="AB103" i="1"/>
  <c r="R103" i="1"/>
  <c r="S103" i="1"/>
  <c r="AD102" i="1"/>
  <c r="AE102" i="1" s="1"/>
  <c r="AF102" i="1" s="1"/>
  <c r="AB102" i="1"/>
  <c r="R102" i="1"/>
  <c r="S102" i="1"/>
  <c r="AB101" i="1"/>
  <c r="AD101" i="1"/>
  <c r="AE101" i="1" s="1"/>
  <c r="AF101" i="1" s="1"/>
  <c r="R101" i="1"/>
  <c r="S101" i="1"/>
  <c r="AB100" i="1"/>
  <c r="AD100" i="1"/>
  <c r="AE100" i="1" s="1"/>
  <c r="AF100" i="1" s="1"/>
  <c r="AG100" i="1" s="1"/>
  <c r="AI100" i="1" s="1"/>
  <c r="AJ100" i="1" s="1"/>
  <c r="S100" i="1"/>
  <c r="R100" i="1"/>
  <c r="AB99" i="1"/>
  <c r="AD99" i="1"/>
  <c r="AE99" i="1" s="1"/>
  <c r="AF99" i="1" s="1"/>
  <c r="AG99" i="1" s="1"/>
  <c r="AI99" i="1" s="1"/>
  <c r="AJ99" i="1" s="1"/>
  <c r="S99" i="1"/>
  <c r="R99" i="1"/>
  <c r="AB98" i="1"/>
  <c r="AD98" i="1"/>
  <c r="AE98" i="1" s="1"/>
  <c r="AF98" i="1" s="1"/>
  <c r="AG98" i="1" s="1"/>
  <c r="AJ98" i="1" s="1"/>
  <c r="S98" i="1"/>
  <c r="R98" i="1"/>
  <c r="AD97" i="1"/>
  <c r="AE97" i="1" s="1"/>
  <c r="AF97" i="1" s="1"/>
  <c r="AG97" i="1" s="1"/>
  <c r="AI97" i="1" s="1"/>
  <c r="AJ97" i="1" s="1"/>
  <c r="AB97" i="1"/>
  <c r="R97" i="1"/>
  <c r="S97" i="1"/>
  <c r="AD96" i="1"/>
  <c r="AE96" i="1" s="1"/>
  <c r="AF96" i="1" s="1"/>
  <c r="AG96" i="1" s="1"/>
  <c r="AI96" i="1" s="1"/>
  <c r="AJ96" i="1" s="1"/>
  <c r="AB96" i="1"/>
  <c r="R96" i="1"/>
  <c r="S96" i="1"/>
  <c r="AB95" i="1"/>
  <c r="AD95" i="1"/>
  <c r="AE95" i="1" s="1"/>
  <c r="AF95" i="1" s="1"/>
  <c r="AG95" i="1" s="1"/>
  <c r="AI95" i="1" s="1"/>
  <c r="AJ95" i="1" s="1"/>
  <c r="S95" i="1"/>
  <c r="R95" i="1"/>
  <c r="AB94" i="1"/>
  <c r="AD94" i="1"/>
  <c r="AE94" i="1" s="1"/>
  <c r="AF94" i="1" s="1"/>
  <c r="AG94" i="1" s="1"/>
  <c r="AI94" i="1" s="1"/>
  <c r="AJ94" i="1" s="1"/>
  <c r="R94" i="1"/>
  <c r="S94" i="1"/>
  <c r="AB93" i="1"/>
  <c r="AD93" i="1"/>
  <c r="AE93" i="1" s="1"/>
  <c r="AF93" i="1" s="1"/>
  <c r="AG93" i="1" s="1"/>
  <c r="AI93" i="1" s="1"/>
  <c r="AJ93" i="1" s="1"/>
  <c r="R93" i="1"/>
  <c r="S93" i="1"/>
  <c r="AD92" i="1"/>
  <c r="AE92" i="1" s="1"/>
  <c r="AF92" i="1" s="1"/>
  <c r="AG92" i="1" s="1"/>
  <c r="AI92" i="1" s="1"/>
  <c r="AJ92" i="1" s="1"/>
  <c r="AB92" i="1"/>
  <c r="S92" i="1"/>
  <c r="R92" i="1"/>
  <c r="AB91" i="1"/>
  <c r="AD91" i="1"/>
  <c r="AE91" i="1" s="1"/>
  <c r="AF91" i="1" s="1"/>
  <c r="AG91" i="1" s="1"/>
  <c r="AI91" i="1" s="1"/>
  <c r="AJ91" i="1" s="1"/>
  <c r="R91" i="1"/>
  <c r="S91" i="1"/>
  <c r="AB90" i="1"/>
  <c r="AD90" i="1"/>
  <c r="AE90" i="1" s="1"/>
  <c r="AF90" i="1" s="1"/>
  <c r="AG90" i="1" s="1"/>
  <c r="S90" i="1"/>
  <c r="R90" i="1"/>
  <c r="AB89" i="1"/>
  <c r="AD89" i="1"/>
  <c r="AE89" i="1" s="1"/>
  <c r="AF89" i="1" s="1"/>
  <c r="AG89" i="1" s="1"/>
  <c r="S89" i="1"/>
  <c r="R89" i="1"/>
  <c r="AB88" i="1"/>
  <c r="AD88" i="1"/>
  <c r="AE88" i="1" s="1"/>
  <c r="AF88" i="1" s="1"/>
  <c r="AG88" i="1" s="1"/>
  <c r="AI88" i="1" s="1"/>
  <c r="AJ88" i="1" s="1"/>
  <c r="R88" i="1"/>
  <c r="S88" i="1"/>
  <c r="AD87" i="1"/>
  <c r="AE87" i="1" s="1"/>
  <c r="AF87" i="1" s="1"/>
  <c r="AG87" i="1" s="1"/>
  <c r="AB87" i="1"/>
  <c r="R87" i="1"/>
  <c r="S87" i="1"/>
  <c r="AB86" i="1"/>
  <c r="AD86" i="1"/>
  <c r="AE86" i="1" s="1"/>
  <c r="AF86" i="1" s="1"/>
  <c r="AG86" i="1" s="1"/>
  <c r="R86" i="1"/>
  <c r="S86" i="1"/>
  <c r="AB85" i="1"/>
  <c r="AD85" i="1"/>
  <c r="AE85" i="1" s="1"/>
  <c r="AF85" i="1" s="1"/>
  <c r="AG85" i="1" s="1"/>
  <c r="AI85" i="1" s="1"/>
  <c r="AJ85" i="1" s="1"/>
  <c r="S85" i="1"/>
  <c r="R85" i="1"/>
  <c r="AB84" i="1"/>
  <c r="AD84" i="1"/>
  <c r="AE84" i="1" s="1"/>
  <c r="AF84" i="1" s="1"/>
  <c r="AG84" i="1" s="1"/>
  <c r="S84" i="1"/>
  <c r="R84" i="1"/>
  <c r="AD83" i="1"/>
  <c r="AE83" i="1" s="1"/>
  <c r="AF83" i="1" s="1"/>
  <c r="AG83" i="1" s="1"/>
  <c r="AB83" i="1"/>
  <c r="R83" i="1"/>
  <c r="S83" i="1"/>
  <c r="AB82" i="1"/>
  <c r="AD82" i="1"/>
  <c r="AE82" i="1" s="1"/>
  <c r="AF82" i="1" s="1"/>
  <c r="S82" i="1"/>
  <c r="R82" i="1"/>
  <c r="AB81" i="1"/>
  <c r="AD81" i="1"/>
  <c r="AE81" i="1" s="1"/>
  <c r="AF81" i="1" s="1"/>
  <c r="S81" i="1"/>
  <c r="R81" i="1"/>
  <c r="AB80" i="1"/>
  <c r="AD80" i="1"/>
  <c r="AE80" i="1" s="1"/>
  <c r="AF80" i="1" s="1"/>
  <c r="S80" i="1"/>
  <c r="R80" i="1"/>
  <c r="AB79" i="1"/>
  <c r="AD79" i="1"/>
  <c r="AE79" i="1" s="1"/>
  <c r="AF79" i="1" s="1"/>
  <c r="R79" i="1"/>
  <c r="S79" i="1"/>
  <c r="AB78" i="1"/>
  <c r="AD78" i="1"/>
  <c r="AE78" i="1" s="1"/>
  <c r="AF78" i="1" s="1"/>
  <c r="S78" i="1"/>
  <c r="R78" i="1"/>
  <c r="AB77" i="1"/>
  <c r="AD77" i="1"/>
  <c r="AE77" i="1" s="1"/>
  <c r="AF77" i="1" s="1"/>
  <c r="S77" i="1"/>
  <c r="R77" i="1"/>
  <c r="AB76" i="1"/>
  <c r="AD76" i="1"/>
  <c r="AE76" i="1" s="1"/>
  <c r="AF76" i="1" s="1"/>
  <c r="S76" i="1"/>
  <c r="R76" i="1"/>
  <c r="AB75" i="1"/>
  <c r="AD75" i="1"/>
  <c r="AE75" i="1" s="1"/>
  <c r="AF75" i="1" s="1"/>
  <c r="S75" i="1"/>
  <c r="R75" i="1"/>
  <c r="AD74" i="1"/>
  <c r="AE74" i="1" s="1"/>
  <c r="AF74" i="1" s="1"/>
  <c r="AB74" i="1"/>
  <c r="S74" i="1"/>
  <c r="R74" i="1"/>
  <c r="AD73" i="1"/>
  <c r="AE73" i="1" s="1"/>
  <c r="AF73" i="1" s="1"/>
  <c r="AB73" i="1"/>
  <c r="R73" i="1"/>
  <c r="S73" i="1"/>
  <c r="AD72" i="1"/>
  <c r="AE72" i="1" s="1"/>
  <c r="AF72" i="1" s="1"/>
  <c r="AB72" i="1"/>
  <c r="S72" i="1"/>
  <c r="R72" i="1"/>
  <c r="AB71" i="1"/>
  <c r="AD71" i="1"/>
  <c r="AE71" i="1" s="1"/>
  <c r="AF71" i="1" s="1"/>
  <c r="S71" i="1"/>
  <c r="R71" i="1"/>
  <c r="AD70" i="1"/>
  <c r="AE70" i="1" s="1"/>
  <c r="AF70" i="1" s="1"/>
  <c r="AB70" i="1"/>
  <c r="R70" i="1"/>
  <c r="S70" i="1"/>
  <c r="AB69" i="1"/>
  <c r="AD69" i="1"/>
  <c r="AE69" i="1" s="1"/>
  <c r="AF69" i="1" s="1"/>
  <c r="S69" i="1"/>
  <c r="R69" i="1"/>
  <c r="AD68" i="1"/>
  <c r="AE68" i="1" s="1"/>
  <c r="AF68" i="1" s="1"/>
  <c r="AB68" i="1"/>
  <c r="S68" i="1"/>
  <c r="R68" i="1"/>
  <c r="AB67" i="1"/>
  <c r="AD67" i="1"/>
  <c r="AE67" i="1" s="1"/>
  <c r="AF67" i="1" s="1"/>
  <c r="R67" i="1"/>
  <c r="S67" i="1"/>
  <c r="AD66" i="1"/>
  <c r="AE66" i="1" s="1"/>
  <c r="AF66" i="1" s="1"/>
  <c r="AB66" i="1"/>
  <c r="R66" i="1"/>
  <c r="S66" i="1"/>
  <c r="AD65" i="1"/>
  <c r="AE65" i="1" s="1"/>
  <c r="AF65" i="1" s="1"/>
  <c r="AB65" i="1"/>
  <c r="S65" i="1"/>
  <c r="R65" i="1"/>
  <c r="AD64" i="1"/>
  <c r="AE64" i="1" s="1"/>
  <c r="AF64" i="1" s="1"/>
  <c r="AB64" i="1"/>
  <c r="S64" i="1"/>
  <c r="R64" i="1"/>
  <c r="AB63" i="1"/>
  <c r="AD63" i="1"/>
  <c r="AE63" i="1" s="1"/>
  <c r="AF63" i="1" s="1"/>
  <c r="S63" i="1"/>
  <c r="R63" i="1"/>
  <c r="AB62" i="1"/>
  <c r="AD62" i="1"/>
  <c r="AE62" i="1" s="1"/>
  <c r="AF62" i="1" s="1"/>
  <c r="S62" i="1"/>
  <c r="R62" i="1"/>
  <c r="AB61" i="1"/>
  <c r="AD61" i="1"/>
  <c r="AE61" i="1" s="1"/>
  <c r="AF61" i="1" s="1"/>
  <c r="R61" i="1"/>
  <c r="S61" i="1"/>
  <c r="AD60" i="1"/>
  <c r="AE60" i="1" s="1"/>
  <c r="AF60" i="1" s="1"/>
  <c r="AB60" i="1"/>
  <c r="S60" i="1"/>
  <c r="R60" i="1"/>
  <c r="AB59" i="1"/>
  <c r="AD59" i="1"/>
  <c r="AE59" i="1" s="1"/>
  <c r="AF59" i="1" s="1"/>
  <c r="S59" i="1"/>
  <c r="R59" i="1"/>
  <c r="AB58" i="1"/>
  <c r="AD58" i="1"/>
  <c r="AE58" i="1" s="1"/>
  <c r="AF58" i="1" s="1"/>
  <c r="S58" i="1"/>
  <c r="R58" i="1"/>
  <c r="AB57" i="1"/>
  <c r="AD57" i="1"/>
  <c r="AE57" i="1" s="1"/>
  <c r="AF57" i="1" s="1"/>
  <c r="R57" i="1"/>
  <c r="S57" i="1"/>
  <c r="AB56" i="1"/>
  <c r="AD56" i="1"/>
  <c r="AE56" i="1" s="1"/>
  <c r="AF56" i="1" s="1"/>
  <c r="S56" i="1"/>
  <c r="R56" i="1"/>
  <c r="AB55" i="1"/>
  <c r="AD55" i="1"/>
  <c r="AE55" i="1" s="1"/>
  <c r="AF55" i="1" s="1"/>
  <c r="S55" i="1"/>
  <c r="R55" i="1"/>
  <c r="AB54" i="1"/>
  <c r="AD54" i="1"/>
  <c r="AE54" i="1" s="1"/>
  <c r="AF54" i="1" s="1"/>
  <c r="S54" i="1"/>
  <c r="R54" i="1"/>
  <c r="AB53" i="1"/>
  <c r="AD53" i="1"/>
  <c r="AE53" i="1" s="1"/>
  <c r="AF53" i="1" s="1"/>
  <c r="S53" i="1"/>
  <c r="R53" i="1"/>
  <c r="AB52" i="1"/>
  <c r="AD52" i="1"/>
  <c r="AE52" i="1" s="1"/>
  <c r="AF52" i="1" s="1"/>
  <c r="R52" i="1"/>
  <c r="S52" i="1"/>
  <c r="AB51" i="1"/>
  <c r="AD51" i="1"/>
  <c r="AE51" i="1" s="1"/>
  <c r="AF51" i="1" s="1"/>
  <c r="R51" i="1"/>
  <c r="S51" i="1"/>
  <c r="AB50" i="1"/>
  <c r="AD50" i="1"/>
  <c r="AE50" i="1" s="1"/>
  <c r="AF50" i="1" s="1"/>
  <c r="R50" i="1"/>
  <c r="S50" i="1"/>
  <c r="AB49" i="1"/>
  <c r="AD49" i="1"/>
  <c r="AE49" i="1" s="1"/>
  <c r="AF49" i="1" s="1"/>
  <c r="R49" i="1"/>
  <c r="S49" i="1"/>
  <c r="AB48" i="1"/>
  <c r="AD48" i="1"/>
  <c r="AE48" i="1" s="1"/>
  <c r="AF48" i="1" s="1"/>
  <c r="R48" i="1"/>
  <c r="S48" i="1"/>
  <c r="AB47" i="1"/>
  <c r="AD47" i="1"/>
  <c r="AE47" i="1" s="1"/>
  <c r="AF47" i="1" s="1"/>
  <c r="S47" i="1"/>
  <c r="R47" i="1"/>
  <c r="AG46" i="1"/>
  <c r="AI46" i="1"/>
  <c r="AJ46" i="1" s="1"/>
  <c r="AG45" i="1"/>
  <c r="AI45" i="1"/>
  <c r="AJ45" i="1" s="1"/>
  <c r="AG44" i="1"/>
  <c r="AI44" i="1"/>
  <c r="AJ44" i="1" s="1"/>
  <c r="AG43" i="1"/>
  <c r="AI43" i="1"/>
  <c r="AJ43" i="1" s="1"/>
  <c r="AG42" i="1"/>
  <c r="AI42" i="1"/>
  <c r="AG41" i="1"/>
  <c r="AI40" i="1"/>
  <c r="AJ40" i="1" s="1"/>
  <c r="AG40" i="1"/>
  <c r="AG39" i="1"/>
  <c r="AI39" i="1"/>
  <c r="AG38" i="1"/>
  <c r="AI37" i="1"/>
  <c r="AJ37" i="1" s="1"/>
  <c r="AG37" i="1"/>
  <c r="AG36" i="1"/>
  <c r="AI36" i="1"/>
  <c r="AG35" i="1"/>
  <c r="AG34" i="1"/>
  <c r="AI34" i="1"/>
  <c r="AJ34" i="1" s="1"/>
  <c r="AG33" i="1"/>
  <c r="AI33" i="1"/>
  <c r="AJ33" i="1" s="1"/>
  <c r="AG32" i="1"/>
  <c r="AI32" i="1"/>
  <c r="AJ32" i="1" s="1"/>
  <c r="AI31" i="1"/>
  <c r="AJ31" i="1" s="1"/>
  <c r="AG31" i="1"/>
  <c r="AI30" i="1"/>
  <c r="AG30" i="1"/>
  <c r="AG29" i="1"/>
  <c r="AB28" i="1"/>
  <c r="AD28" i="1"/>
  <c r="AE28" i="1" s="1"/>
  <c r="AF28" i="1" s="1"/>
  <c r="AG28" i="1" s="1"/>
  <c r="AI28" i="1" s="1"/>
  <c r="AJ28" i="1" s="1"/>
  <c r="S28" i="1"/>
  <c r="R28" i="1"/>
  <c r="AB27" i="1"/>
  <c r="AD27" i="1"/>
  <c r="AE27" i="1" s="1"/>
  <c r="AF27" i="1" s="1"/>
  <c r="AG27" i="1" s="1"/>
  <c r="AI27" i="1" s="1"/>
  <c r="AJ27" i="1" s="1"/>
  <c r="S27" i="1"/>
  <c r="R27" i="1"/>
  <c r="AB26" i="1"/>
  <c r="AD26" i="1"/>
  <c r="AE26" i="1" s="1"/>
  <c r="AF26" i="1" s="1"/>
  <c r="AG26" i="1" s="1"/>
  <c r="AI26" i="1" s="1"/>
  <c r="AJ26" i="1" s="1"/>
  <c r="S26" i="1"/>
  <c r="R26" i="1"/>
  <c r="AB25" i="1"/>
  <c r="AD25" i="1"/>
  <c r="AE25" i="1" s="1"/>
  <c r="AF25" i="1" s="1"/>
  <c r="AG25" i="1" s="1"/>
  <c r="AI25" i="1" s="1"/>
  <c r="AJ25" i="1" s="1"/>
  <c r="S25" i="1"/>
  <c r="R25" i="1"/>
  <c r="AB24" i="1"/>
  <c r="AD24" i="1"/>
  <c r="AE24" i="1" s="1"/>
  <c r="AF24" i="1" s="1"/>
  <c r="AG24" i="1" s="1"/>
  <c r="AI24" i="1" s="1"/>
  <c r="AJ24" i="1" s="1"/>
  <c r="R24" i="1"/>
  <c r="S24" i="1"/>
  <c r="AB23" i="1"/>
  <c r="AD23" i="1"/>
  <c r="AE23" i="1" s="1"/>
  <c r="AF23" i="1" s="1"/>
  <c r="AG23" i="1" s="1"/>
  <c r="AI23" i="1" s="1"/>
  <c r="AJ23" i="1" s="1"/>
  <c r="S23" i="1"/>
  <c r="R23" i="1"/>
  <c r="AB22" i="1"/>
  <c r="AD22" i="1"/>
  <c r="AE22" i="1" s="1"/>
  <c r="AF22" i="1" s="1"/>
  <c r="AG22" i="1" s="1"/>
  <c r="AI22" i="1" s="1"/>
  <c r="AJ22" i="1" s="1"/>
  <c r="S22" i="1"/>
  <c r="R22" i="1"/>
  <c r="AB20" i="1"/>
  <c r="AD20" i="1"/>
  <c r="AE20" i="1" s="1"/>
  <c r="AF20" i="1" s="1"/>
  <c r="AG20" i="1" s="1"/>
  <c r="AI20" i="1" s="1"/>
  <c r="AJ20" i="1" s="1"/>
  <c r="S20" i="1"/>
  <c r="R20" i="1"/>
  <c r="AB19" i="1"/>
  <c r="AD19" i="1"/>
  <c r="AE19" i="1" s="1"/>
  <c r="AF19" i="1" s="1"/>
  <c r="AG19" i="1" s="1"/>
  <c r="AI19" i="1" s="1"/>
  <c r="AJ19" i="1" s="1"/>
  <c r="S19" i="1"/>
  <c r="R19" i="1"/>
  <c r="AD18" i="1"/>
  <c r="AE18" i="1" s="1"/>
  <c r="AF18" i="1" s="1"/>
  <c r="AG18" i="1" s="1"/>
  <c r="AI18" i="1" s="1"/>
  <c r="AJ18" i="1" s="1"/>
  <c r="AB18" i="1"/>
  <c r="R18" i="1"/>
  <c r="S18" i="1"/>
  <c r="AD17" i="1"/>
  <c r="AE17" i="1" s="1"/>
  <c r="AF17" i="1" s="1"/>
  <c r="AG17" i="1" s="1"/>
  <c r="AI17" i="1" s="1"/>
  <c r="AJ17" i="1" s="1"/>
  <c r="AB17" i="1"/>
  <c r="S17" i="1"/>
  <c r="R17" i="1"/>
  <c r="AB16" i="1"/>
  <c r="AD16" i="1"/>
  <c r="AE16" i="1" s="1"/>
  <c r="AF16" i="1" s="1"/>
  <c r="AG16" i="1" s="1"/>
  <c r="AI16" i="1" s="1"/>
  <c r="AJ16" i="1" s="1"/>
  <c r="R16" i="1"/>
  <c r="S16" i="1"/>
  <c r="AD15" i="1"/>
  <c r="AE15" i="1" s="1"/>
  <c r="AF15" i="1" s="1"/>
  <c r="AG15" i="1" s="1"/>
  <c r="AI15" i="1" s="1"/>
  <c r="AJ15" i="1" s="1"/>
  <c r="R15" i="1"/>
  <c r="S15" i="1"/>
  <c r="AB14" i="1"/>
  <c r="AD14" i="1"/>
  <c r="AE14" i="1" s="1"/>
  <c r="AF14" i="1" s="1"/>
  <c r="AG14" i="1" s="1"/>
  <c r="AI14" i="1" s="1"/>
  <c r="AJ14" i="1" s="1"/>
  <c r="R14" i="1"/>
  <c r="S14" i="1"/>
  <c r="AB13" i="1"/>
  <c r="AD13" i="1"/>
  <c r="AE13" i="1" s="1"/>
  <c r="AF13" i="1" s="1"/>
  <c r="AG13" i="1" s="1"/>
  <c r="AI13" i="1" s="1"/>
  <c r="AJ13" i="1" s="1"/>
  <c r="R13" i="1"/>
  <c r="S13" i="1"/>
  <c r="AD11" i="1"/>
  <c r="AE11" i="1" s="1"/>
  <c r="AF11" i="1" s="1"/>
  <c r="AG11" i="1" s="1"/>
  <c r="AI11" i="1" s="1"/>
  <c r="AJ11" i="1" s="1"/>
  <c r="AB11" i="1"/>
  <c r="R11" i="1"/>
  <c r="S11" i="1"/>
  <c r="AB10" i="1"/>
  <c r="AD10" i="1"/>
  <c r="AE10" i="1" s="1"/>
  <c r="AF10" i="1" s="1"/>
  <c r="AG10" i="1" s="1"/>
  <c r="AI10" i="1" s="1"/>
  <c r="AJ10" i="1" s="1"/>
  <c r="S10" i="1"/>
  <c r="R10" i="1"/>
  <c r="AB9" i="1"/>
  <c r="AD9" i="1"/>
  <c r="AE9" i="1" s="1"/>
  <c r="AF9" i="1" s="1"/>
  <c r="AG9" i="1" s="1"/>
  <c r="AI9" i="1" s="1"/>
  <c r="AJ9" i="1" s="1"/>
  <c r="R9" i="1"/>
  <c r="S9" i="1"/>
  <c r="AB8" i="1"/>
  <c r="AD8" i="1"/>
  <c r="AE8" i="1" s="1"/>
  <c r="AF8" i="1" s="1"/>
  <c r="AG8" i="1" s="1"/>
  <c r="AI8" i="1" s="1"/>
  <c r="AJ8" i="1" s="1"/>
  <c r="R8" i="1"/>
  <c r="S8" i="1"/>
  <c r="AB7" i="1"/>
  <c r="AD7" i="1"/>
  <c r="AE7" i="1" s="1"/>
  <c r="AF7" i="1" s="1"/>
  <c r="AG7" i="1" s="1"/>
  <c r="AI7" i="1" s="1"/>
  <c r="AJ7" i="1" s="1"/>
  <c r="R7" i="1"/>
  <c r="S7" i="1"/>
  <c r="AB5" i="1"/>
  <c r="AD5" i="1"/>
  <c r="AE5" i="1" s="1"/>
  <c r="AF5" i="1" s="1"/>
  <c r="AG5" i="1" s="1"/>
  <c r="AI5" i="1" s="1"/>
  <c r="AJ5" i="1" s="1"/>
  <c r="S5" i="1"/>
  <c r="R5" i="1"/>
  <c r="AB4" i="1"/>
  <c r="AD4" i="1"/>
  <c r="AE4" i="1" s="1"/>
  <c r="AF4" i="1" s="1"/>
  <c r="AG4" i="1" s="1"/>
  <c r="AI4" i="1" s="1"/>
  <c r="AJ4" i="1" s="1"/>
  <c r="R4" i="1"/>
  <c r="S4" i="1"/>
  <c r="AB3" i="1"/>
  <c r="R3" i="1"/>
  <c r="S3" i="1"/>
  <c r="AK77" i="6" l="1"/>
  <c r="AL77" i="6" s="1"/>
  <c r="AI77" i="6"/>
  <c r="AL104" i="6"/>
  <c r="AI104" i="6"/>
  <c r="AI102" i="6"/>
  <c r="AL102" i="6"/>
  <c r="AK71" i="6"/>
  <c r="AL71" i="6" s="1"/>
  <c r="AI71" i="6"/>
  <c r="AK65" i="6"/>
  <c r="AI65" i="6"/>
  <c r="AK61" i="6"/>
  <c r="AI61" i="6"/>
  <c r="AK98" i="2"/>
  <c r="AL98" i="2" s="1"/>
  <c r="AL99" i="2"/>
  <c r="AK96" i="2"/>
  <c r="AI96" i="4"/>
  <c r="AI84" i="1"/>
  <c r="AI87" i="1"/>
  <c r="AI90" i="1"/>
  <c r="AJ39" i="1"/>
  <c r="AI38" i="1"/>
  <c r="AJ38" i="1" s="1"/>
  <c r="AJ36" i="1"/>
  <c r="AI35" i="1"/>
  <c r="AJ35" i="1" s="1"/>
  <c r="AI43" i="2"/>
  <c r="AK43" i="2"/>
  <c r="AL43" i="2" s="1"/>
  <c r="AI46" i="2"/>
  <c r="AK46" i="2"/>
  <c r="AL46" i="2" s="1"/>
  <c r="AI42" i="2"/>
  <c r="AK42" i="2"/>
  <c r="AL42" i="2" s="1"/>
  <c r="AK39" i="2"/>
  <c r="AL39" i="2" s="1"/>
  <c r="AI39" i="2"/>
  <c r="AK36" i="2"/>
  <c r="AL36" i="2" s="1"/>
  <c r="AI36" i="2"/>
  <c r="AK33" i="2"/>
  <c r="AL33" i="2" s="1"/>
  <c r="AI33" i="2"/>
  <c r="AI32" i="2"/>
  <c r="AI29" i="2"/>
  <c r="AK45" i="2"/>
  <c r="AL45" i="2" s="1"/>
  <c r="AI45" i="2"/>
  <c r="AI40" i="2"/>
  <c r="AK40" i="2"/>
  <c r="AI38" i="2"/>
  <c r="AI35" i="2"/>
  <c r="AI30" i="2"/>
  <c r="AK30" i="2"/>
  <c r="AI44" i="2"/>
  <c r="AK44" i="2"/>
  <c r="AL44" i="2" s="1"/>
  <c r="AI41" i="2"/>
  <c r="AK41" i="2"/>
  <c r="AL41" i="2" s="1"/>
  <c r="AI37" i="2"/>
  <c r="AK37" i="2"/>
  <c r="AI34" i="2"/>
  <c r="AK34" i="2"/>
  <c r="AI31" i="2"/>
  <c r="AK31" i="2"/>
  <c r="AL31" i="2" s="1"/>
  <c r="AK86" i="2"/>
  <c r="AL86" i="2" s="1"/>
  <c r="AJ42" i="5"/>
  <c r="AI41" i="5"/>
  <c r="AJ41" i="5" s="1"/>
  <c r="AG108" i="5"/>
  <c r="AJ108" i="5"/>
  <c r="AG107" i="5"/>
  <c r="AJ107" i="5"/>
  <c r="AG106" i="5"/>
  <c r="AJ106" i="5"/>
  <c r="AG105" i="5"/>
  <c r="AJ105" i="5"/>
  <c r="AG104" i="5"/>
  <c r="AJ104" i="5"/>
  <c r="AG103" i="5"/>
  <c r="AJ103" i="5"/>
  <c r="AG102" i="5"/>
  <c r="AJ102" i="5"/>
  <c r="AG101" i="5"/>
  <c r="AJ101" i="5"/>
  <c r="AG82" i="5"/>
  <c r="AI82" i="5"/>
  <c r="AJ82" i="5" s="1"/>
  <c r="AI81" i="5"/>
  <c r="AJ81" i="5" s="1"/>
  <c r="AG81" i="5"/>
  <c r="AI80" i="5"/>
  <c r="AJ80" i="5" s="1"/>
  <c r="AG80" i="5"/>
  <c r="AG79" i="5"/>
  <c r="AI79" i="5"/>
  <c r="AJ79" i="5" s="1"/>
  <c r="AI78" i="5"/>
  <c r="AJ78" i="5" s="1"/>
  <c r="AG78" i="5"/>
  <c r="AI77" i="5"/>
  <c r="AJ77" i="5" s="1"/>
  <c r="AG77" i="5"/>
  <c r="AG76" i="5"/>
  <c r="AI76" i="5"/>
  <c r="AJ76" i="5" s="1"/>
  <c r="AI75" i="5"/>
  <c r="AJ75" i="5" s="1"/>
  <c r="AG75" i="5"/>
  <c r="AI74" i="5"/>
  <c r="AJ74" i="5" s="1"/>
  <c r="AG74" i="5"/>
  <c r="AG73" i="5"/>
  <c r="AI73" i="5"/>
  <c r="AJ73" i="5" s="1"/>
  <c r="AG72" i="5"/>
  <c r="AI72" i="5"/>
  <c r="AJ72" i="5" s="1"/>
  <c r="AI71" i="5"/>
  <c r="AJ71" i="5" s="1"/>
  <c r="AG71" i="5"/>
  <c r="AG70" i="5"/>
  <c r="AI70" i="5"/>
  <c r="AJ70" i="5" s="1"/>
  <c r="AI69" i="5"/>
  <c r="AJ69" i="5" s="1"/>
  <c r="AG69" i="5"/>
  <c r="AG68" i="5"/>
  <c r="AI68" i="5"/>
  <c r="AJ68" i="5" s="1"/>
  <c r="AI67" i="5"/>
  <c r="AJ67" i="5" s="1"/>
  <c r="AG67" i="5"/>
  <c r="AG66" i="5"/>
  <c r="AI66" i="5"/>
  <c r="AJ66" i="5" s="1"/>
  <c r="AG65" i="5"/>
  <c r="AI65" i="5"/>
  <c r="AJ65" i="5" s="1"/>
  <c r="AI64" i="5"/>
  <c r="AJ64" i="5" s="1"/>
  <c r="AG64" i="5"/>
  <c r="AG63" i="5"/>
  <c r="AI63" i="5"/>
  <c r="AJ63" i="5" s="1"/>
  <c r="AG62" i="5"/>
  <c r="AI62" i="5"/>
  <c r="AJ62" i="5" s="1"/>
  <c r="AG61" i="5"/>
  <c r="AI61" i="5"/>
  <c r="AJ61" i="5" s="1"/>
  <c r="AG60" i="5"/>
  <c r="AI60" i="5"/>
  <c r="AJ60" i="5" s="1"/>
  <c r="AG59" i="5"/>
  <c r="AI59" i="5"/>
  <c r="AJ59" i="5" s="1"/>
  <c r="AG58" i="5"/>
  <c r="AI58" i="5"/>
  <c r="AJ58" i="5" s="1"/>
  <c r="AG57" i="5"/>
  <c r="AI57" i="5"/>
  <c r="AJ57" i="5" s="1"/>
  <c r="AG56" i="5"/>
  <c r="AI56" i="5"/>
  <c r="AJ56" i="5" s="1"/>
  <c r="AG55" i="5"/>
  <c r="AI55" i="5"/>
  <c r="AJ55" i="5" s="1"/>
  <c r="AG54" i="5"/>
  <c r="AI54" i="5"/>
  <c r="AJ54" i="5" s="1"/>
  <c r="AG53" i="5"/>
  <c r="AI53" i="5"/>
  <c r="AJ53" i="5" s="1"/>
  <c r="AG52" i="5"/>
  <c r="AI52" i="5"/>
  <c r="AJ52" i="5" s="1"/>
  <c r="AG51" i="5"/>
  <c r="AI51" i="5"/>
  <c r="AJ51" i="5" s="1"/>
  <c r="AG50" i="5"/>
  <c r="AI50" i="5"/>
  <c r="AJ50" i="5" s="1"/>
  <c r="AG49" i="5"/>
  <c r="AI49" i="5"/>
  <c r="AJ49" i="5" s="1"/>
  <c r="AG48" i="5"/>
  <c r="AI48" i="5"/>
  <c r="AJ48" i="5" s="1"/>
  <c r="AG47" i="5"/>
  <c r="AI47" i="5"/>
  <c r="AJ47" i="5" s="1"/>
  <c r="AI92" i="4"/>
  <c r="AJ92" i="4" s="1"/>
  <c r="AG108" i="4"/>
  <c r="AJ108" i="4"/>
  <c r="AJ107" i="4" s="1"/>
  <c r="AG107" i="4"/>
  <c r="AG106" i="4"/>
  <c r="AJ106" i="4"/>
  <c r="AG105" i="4"/>
  <c r="AJ105" i="4"/>
  <c r="AG104" i="4"/>
  <c r="AJ104" i="4"/>
  <c r="AG103" i="4"/>
  <c r="AJ103" i="4"/>
  <c r="AG102" i="4"/>
  <c r="AJ102" i="4"/>
  <c r="AG101" i="4"/>
  <c r="AJ101" i="4"/>
  <c r="AG82" i="4"/>
  <c r="AI82" i="4"/>
  <c r="AJ82" i="4" s="1"/>
  <c r="AG81" i="4"/>
  <c r="AI81" i="4"/>
  <c r="AJ81" i="4" s="1"/>
  <c r="AI80" i="4"/>
  <c r="AJ80" i="4" s="1"/>
  <c r="AG80" i="4"/>
  <c r="AG79" i="4"/>
  <c r="AI79" i="4"/>
  <c r="AJ79" i="4" s="1"/>
  <c r="AI78" i="4"/>
  <c r="AJ78" i="4" s="1"/>
  <c r="AG78" i="4"/>
  <c r="AI77" i="4"/>
  <c r="AJ77" i="4" s="1"/>
  <c r="AG77" i="4"/>
  <c r="AI76" i="4"/>
  <c r="AJ76" i="4" s="1"/>
  <c r="AG76" i="4"/>
  <c r="AI75" i="4"/>
  <c r="AJ75" i="4" s="1"/>
  <c r="AG75" i="4"/>
  <c r="AG74" i="4"/>
  <c r="AI74" i="4"/>
  <c r="AJ74" i="4" s="1"/>
  <c r="AG73" i="4"/>
  <c r="AI73" i="4"/>
  <c r="AJ73" i="4" s="1"/>
  <c r="AG72" i="4"/>
  <c r="AI72" i="4"/>
  <c r="AJ72" i="4" s="1"/>
  <c r="AG71" i="4"/>
  <c r="AI71" i="4"/>
  <c r="AJ71" i="4" s="1"/>
  <c r="AG70" i="4"/>
  <c r="AI70" i="4"/>
  <c r="AJ70" i="4" s="1"/>
  <c r="AG69" i="4"/>
  <c r="AI69" i="4"/>
  <c r="AJ69" i="4" s="1"/>
  <c r="AG68" i="4"/>
  <c r="AI68" i="4"/>
  <c r="AJ68" i="4" s="1"/>
  <c r="AG67" i="4"/>
  <c r="AI67" i="4"/>
  <c r="AJ67" i="4" s="1"/>
  <c r="AG66" i="4"/>
  <c r="AI66" i="4"/>
  <c r="AJ66" i="4" s="1"/>
  <c r="AG65" i="4"/>
  <c r="AI65" i="4"/>
  <c r="AJ65" i="4" s="1"/>
  <c r="AG64" i="4"/>
  <c r="AI64" i="4"/>
  <c r="AJ64" i="4" s="1"/>
  <c r="AG63" i="4"/>
  <c r="AI63" i="4"/>
  <c r="AJ63" i="4" s="1"/>
  <c r="AG62" i="4"/>
  <c r="AI62" i="4"/>
  <c r="AJ62" i="4" s="1"/>
  <c r="AG61" i="4"/>
  <c r="AI61" i="4"/>
  <c r="AJ61" i="4" s="1"/>
  <c r="AG60" i="4"/>
  <c r="AI60" i="4"/>
  <c r="AJ60" i="4" s="1"/>
  <c r="AG59" i="4"/>
  <c r="AI59" i="4"/>
  <c r="AJ59" i="4" s="1"/>
  <c r="AG58" i="4"/>
  <c r="AI58" i="4"/>
  <c r="AJ58" i="4" s="1"/>
  <c r="AG57" i="4"/>
  <c r="AI57" i="4"/>
  <c r="AJ57" i="4" s="1"/>
  <c r="AG56" i="4"/>
  <c r="AI56" i="4"/>
  <c r="AJ56" i="4" s="1"/>
  <c r="AG55" i="4"/>
  <c r="AI55" i="4"/>
  <c r="AJ55" i="4" s="1"/>
  <c r="AG54" i="4"/>
  <c r="AI54" i="4"/>
  <c r="AG53" i="4"/>
  <c r="AG52" i="4"/>
  <c r="AI52" i="4"/>
  <c r="AJ52" i="4" s="1"/>
  <c r="AG51" i="4"/>
  <c r="AI51" i="4"/>
  <c r="AG50" i="4"/>
  <c r="AG49" i="4"/>
  <c r="AI49" i="4"/>
  <c r="AJ49" i="4" s="1"/>
  <c r="AG48" i="4"/>
  <c r="AI48" i="4"/>
  <c r="AJ48" i="4" s="1"/>
  <c r="AG47" i="4"/>
  <c r="AI47" i="4"/>
  <c r="AJ47" i="4" s="1"/>
  <c r="AI86" i="4"/>
  <c r="AJ86" i="4" s="1"/>
  <c r="AK89" i="2"/>
  <c r="AL89" i="2" s="1"/>
  <c r="AJ30" i="1"/>
  <c r="AI29" i="1"/>
  <c r="AJ29" i="1" s="1"/>
  <c r="AI108" i="2"/>
  <c r="AL108" i="2"/>
  <c r="AL107" i="2" s="1"/>
  <c r="AI107" i="2"/>
  <c r="AI106" i="2"/>
  <c r="AL106" i="2"/>
  <c r="AI105" i="2"/>
  <c r="AL105" i="2"/>
  <c r="AI104" i="2"/>
  <c r="AL104" i="2"/>
  <c r="AI103" i="2"/>
  <c r="AL103" i="2"/>
  <c r="AI102" i="2"/>
  <c r="AL102" i="2"/>
  <c r="AL101" i="2" s="1"/>
  <c r="AI101" i="2"/>
  <c r="AI82" i="2"/>
  <c r="AK82" i="2"/>
  <c r="AL82" i="2" s="1"/>
  <c r="AK81" i="2"/>
  <c r="AL81" i="2" s="1"/>
  <c r="AI81" i="2"/>
  <c r="AK80" i="2"/>
  <c r="AL80" i="2" s="1"/>
  <c r="AI80" i="2"/>
  <c r="AK79" i="2"/>
  <c r="AL79" i="2" s="1"/>
  <c r="AI79" i="2"/>
  <c r="AK78" i="2"/>
  <c r="AL78" i="2" s="1"/>
  <c r="AI78" i="2"/>
  <c r="AK77" i="2"/>
  <c r="AL77" i="2" s="1"/>
  <c r="AI77" i="2"/>
  <c r="AK76" i="2"/>
  <c r="AL76" i="2" s="1"/>
  <c r="AI76" i="2"/>
  <c r="AI75" i="2"/>
  <c r="AK75" i="2"/>
  <c r="AL75" i="2" s="1"/>
  <c r="AI74" i="2"/>
  <c r="AK74" i="2"/>
  <c r="AL74" i="2" s="1"/>
  <c r="AI73" i="2"/>
  <c r="AK73" i="2"/>
  <c r="AL73" i="2" s="1"/>
  <c r="AI72" i="2"/>
  <c r="AK72" i="2"/>
  <c r="AL72" i="2" s="1"/>
  <c r="AI71" i="2"/>
  <c r="AK71" i="2"/>
  <c r="AL71" i="2" s="1"/>
  <c r="AI70" i="2"/>
  <c r="AK70" i="2"/>
  <c r="AL70" i="2" s="1"/>
  <c r="AI69" i="2"/>
  <c r="AK69" i="2"/>
  <c r="AL69" i="2" s="1"/>
  <c r="AI68" i="2"/>
  <c r="AK68" i="2"/>
  <c r="AL68" i="2" s="1"/>
  <c r="AI67" i="2"/>
  <c r="AK67" i="2"/>
  <c r="AL67" i="2" s="1"/>
  <c r="AI66" i="2"/>
  <c r="AK66" i="2"/>
  <c r="AL66" i="2" s="1"/>
  <c r="AI65" i="2"/>
  <c r="AK65" i="2"/>
  <c r="AL65" i="2" s="1"/>
  <c r="AI64" i="2"/>
  <c r="AK64" i="2"/>
  <c r="AL64" i="2" s="1"/>
  <c r="AI63" i="2"/>
  <c r="AK63" i="2"/>
  <c r="AI62" i="2"/>
  <c r="AI61" i="2"/>
  <c r="AK61" i="2"/>
  <c r="AL61" i="2" s="1"/>
  <c r="AI60" i="2"/>
  <c r="AK60" i="2"/>
  <c r="AI59" i="2"/>
  <c r="AK58" i="2"/>
  <c r="AI58" i="2"/>
  <c r="AK57" i="2"/>
  <c r="AL57" i="2" s="1"/>
  <c r="AI57" i="2"/>
  <c r="AI56" i="2"/>
  <c r="AI55" i="2"/>
  <c r="AK55" i="2"/>
  <c r="AL55" i="2" s="1"/>
  <c r="AI54" i="2"/>
  <c r="AK54" i="2"/>
  <c r="AI53" i="2"/>
  <c r="AK52" i="2"/>
  <c r="AL52" i="2" s="1"/>
  <c r="AI52" i="2"/>
  <c r="AI51" i="2"/>
  <c r="AK51" i="2"/>
  <c r="AL51" i="2" s="1"/>
  <c r="AI50" i="2"/>
  <c r="AK50" i="2"/>
  <c r="AL50" i="2" s="1"/>
  <c r="AI49" i="2"/>
  <c r="AK49" i="2"/>
  <c r="AL49" i="2" s="1"/>
  <c r="AI48" i="2"/>
  <c r="AK48" i="2"/>
  <c r="AL48" i="2" s="1"/>
  <c r="AK47" i="2"/>
  <c r="AL47" i="2" s="1"/>
  <c r="AI47" i="2"/>
  <c r="AL28" i="2"/>
  <c r="AL27" i="2"/>
  <c r="AL26" i="2"/>
  <c r="AL24" i="2"/>
  <c r="AL22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4" i="2"/>
  <c r="AJ42" i="1"/>
  <c r="AI41" i="1"/>
  <c r="AJ41" i="1" s="1"/>
  <c r="AG108" i="1"/>
  <c r="AI108" i="1" s="1"/>
  <c r="AJ108" i="1" s="1"/>
  <c r="AG107" i="1"/>
  <c r="AG106" i="1"/>
  <c r="AI106" i="1" s="1"/>
  <c r="AJ106" i="1" s="1"/>
  <c r="AG105" i="1"/>
  <c r="AI105" i="1" s="1"/>
  <c r="AJ105" i="1" s="1"/>
  <c r="AG104" i="1"/>
  <c r="AI104" i="1" s="1"/>
  <c r="AJ104" i="1" s="1"/>
  <c r="AG103" i="1"/>
  <c r="AI103" i="1" s="1"/>
  <c r="AJ103" i="1" s="1"/>
  <c r="AG102" i="1"/>
  <c r="AI102" i="1" s="1"/>
  <c r="AJ102" i="1" s="1"/>
  <c r="AG101" i="1"/>
  <c r="AG82" i="1"/>
  <c r="AI82" i="1"/>
  <c r="AJ82" i="1" s="1"/>
  <c r="AG81" i="1"/>
  <c r="AI81" i="1"/>
  <c r="AJ81" i="1" s="1"/>
  <c r="AG80" i="1"/>
  <c r="AI80" i="1"/>
  <c r="AJ80" i="1" s="1"/>
  <c r="AG79" i="1"/>
  <c r="AI79" i="1"/>
  <c r="AJ79" i="1" s="1"/>
  <c r="AG78" i="1"/>
  <c r="AI78" i="1"/>
  <c r="AJ78" i="1" s="1"/>
  <c r="AG77" i="1"/>
  <c r="AI77" i="1"/>
  <c r="AJ77" i="1" s="1"/>
  <c r="AG76" i="1"/>
  <c r="AI76" i="1"/>
  <c r="AJ76" i="1" s="1"/>
  <c r="AG75" i="1"/>
  <c r="AI75" i="1"/>
  <c r="AJ75" i="1" s="1"/>
  <c r="AI74" i="1"/>
  <c r="AJ74" i="1" s="1"/>
  <c r="AG74" i="1"/>
  <c r="AI73" i="1"/>
  <c r="AJ73" i="1" s="1"/>
  <c r="AG73" i="1"/>
  <c r="AI72" i="1"/>
  <c r="AJ72" i="1" s="1"/>
  <c r="AG72" i="1"/>
  <c r="AI71" i="1"/>
  <c r="AJ71" i="1" s="1"/>
  <c r="AG71" i="1"/>
  <c r="AI70" i="1"/>
  <c r="AJ70" i="1" s="1"/>
  <c r="AG70" i="1"/>
  <c r="AI69" i="1"/>
  <c r="AJ69" i="1" s="1"/>
  <c r="AG69" i="1"/>
  <c r="AI68" i="1"/>
  <c r="AJ68" i="1" s="1"/>
  <c r="AG68" i="1"/>
  <c r="AI67" i="1"/>
  <c r="AJ67" i="1" s="1"/>
  <c r="AG67" i="1"/>
  <c r="AG66" i="1"/>
  <c r="AI66" i="1"/>
  <c r="AJ66" i="1" s="1"/>
  <c r="AG65" i="1"/>
  <c r="AI65" i="1"/>
  <c r="AJ65" i="1" s="1"/>
  <c r="AG64" i="1"/>
  <c r="AI64" i="1"/>
  <c r="AJ64" i="1" s="1"/>
  <c r="AI63" i="1"/>
  <c r="AJ63" i="1" s="1"/>
  <c r="AG63" i="1"/>
  <c r="AG62" i="1"/>
  <c r="AI62" i="1"/>
  <c r="AJ62" i="1" s="1"/>
  <c r="AG61" i="1"/>
  <c r="AI61" i="1"/>
  <c r="AJ61" i="1" s="1"/>
  <c r="AG60" i="1"/>
  <c r="AI60" i="1"/>
  <c r="AJ60" i="1" s="1"/>
  <c r="AG59" i="1"/>
  <c r="AI59" i="1"/>
  <c r="AJ59" i="1" s="1"/>
  <c r="AG58" i="1"/>
  <c r="AI58" i="1"/>
  <c r="AJ58" i="1" s="1"/>
  <c r="AG57" i="1"/>
  <c r="AI57" i="1"/>
  <c r="AJ57" i="1" s="1"/>
  <c r="AG56" i="1"/>
  <c r="AI56" i="1"/>
  <c r="AJ56" i="1" s="1"/>
  <c r="AG55" i="1"/>
  <c r="AI55" i="1"/>
  <c r="AJ55" i="1" s="1"/>
  <c r="AG54" i="1"/>
  <c r="AI54" i="1"/>
  <c r="AJ54" i="1" s="1"/>
  <c r="AG53" i="1"/>
  <c r="AI53" i="1"/>
  <c r="AJ53" i="1" s="1"/>
  <c r="AG52" i="1"/>
  <c r="AI52" i="1"/>
  <c r="AJ52" i="1" s="1"/>
  <c r="AG51" i="1"/>
  <c r="AI51" i="1"/>
  <c r="AJ51" i="1" s="1"/>
  <c r="AG50" i="1"/>
  <c r="AI50" i="1"/>
  <c r="AJ50" i="1" s="1"/>
  <c r="AG49" i="1"/>
  <c r="AI49" i="1"/>
  <c r="AJ49" i="1" s="1"/>
  <c r="AG48" i="1"/>
  <c r="AI48" i="1"/>
  <c r="AG47" i="1"/>
  <c r="AK63" i="6" l="1"/>
  <c r="AL63" i="6" s="1"/>
  <c r="AL65" i="6"/>
  <c r="AK60" i="6"/>
  <c r="AL60" i="6" s="1"/>
  <c r="AL61" i="6"/>
  <c r="AI95" i="4"/>
  <c r="AJ95" i="4" s="1"/>
  <c r="AJ96" i="4"/>
  <c r="AL96" i="2"/>
  <c r="AK95" i="2"/>
  <c r="AL95" i="2" s="1"/>
  <c r="AJ84" i="1"/>
  <c r="AI83" i="1"/>
  <c r="AJ83" i="1" s="1"/>
  <c r="AJ90" i="1"/>
  <c r="AI89" i="1"/>
  <c r="AJ89" i="1" s="1"/>
  <c r="AL60" i="2"/>
  <c r="AK59" i="2"/>
  <c r="AL59" i="2" s="1"/>
  <c r="AI107" i="1"/>
  <c r="AJ107" i="1" s="1"/>
  <c r="AJ48" i="1"/>
  <c r="AI47" i="1"/>
  <c r="AJ47" i="1" s="1"/>
  <c r="AI86" i="1"/>
  <c r="AJ86" i="1" s="1"/>
  <c r="AJ87" i="1"/>
  <c r="AI101" i="1"/>
  <c r="AJ101" i="1" s="1"/>
  <c r="AL63" i="2"/>
  <c r="AK62" i="2"/>
  <c r="AL62" i="2" s="1"/>
  <c r="AL40" i="2"/>
  <c r="AK38" i="2"/>
  <c r="AL38" i="2" s="1"/>
  <c r="AJ54" i="4"/>
  <c r="AI53" i="4"/>
  <c r="AJ53" i="4" s="1"/>
  <c r="AJ51" i="4"/>
  <c r="AI50" i="4"/>
  <c r="AJ50" i="4" s="1"/>
  <c r="AL30" i="2"/>
  <c r="AK29" i="2"/>
  <c r="AL29" i="2" s="1"/>
  <c r="AL37" i="2"/>
  <c r="AK35" i="2"/>
  <c r="AL35" i="2" s="1"/>
  <c r="AL34" i="2"/>
  <c r="AK32" i="2"/>
  <c r="AL32" i="2" s="1"/>
  <c r="AL54" i="2"/>
  <c r="AK53" i="2"/>
  <c r="AL53" i="2" s="1"/>
  <c r="AL58" i="2"/>
  <c r="AK56" i="2"/>
  <c r="AL56" i="2" s="1"/>
  <c r="AL5" i="2"/>
  <c r="AL25" i="2"/>
  <c r="AL23" i="2"/>
</calcChain>
</file>

<file path=xl/sharedStrings.xml><?xml version="1.0" encoding="utf-8"?>
<sst xmlns="http://schemas.openxmlformats.org/spreadsheetml/2006/main" count="1376" uniqueCount="64">
  <si>
    <t>Location</t>
  </si>
  <si>
    <t>Year_planted</t>
  </si>
  <si>
    <t>Years_passed</t>
  </si>
  <si>
    <t>Station</t>
  </si>
  <si>
    <t>Plot</t>
  </si>
  <si>
    <t>Level</t>
  </si>
  <si>
    <t>Core Depth</t>
  </si>
  <si>
    <t>Core length</t>
  </si>
  <si>
    <t>Compaction</t>
  </si>
  <si>
    <t>Diameter</t>
  </si>
  <si>
    <t>volume (cm3)</t>
  </si>
  <si>
    <t>Container no.</t>
  </si>
  <si>
    <t>Container weight</t>
  </si>
  <si>
    <t>wet + container</t>
  </si>
  <si>
    <t>wet</t>
  </si>
  <si>
    <t>dry + container</t>
  </si>
  <si>
    <t xml:space="preserve">dry </t>
  </si>
  <si>
    <t>water cont (g)</t>
  </si>
  <si>
    <t>water %</t>
  </si>
  <si>
    <t>crucible no</t>
  </si>
  <si>
    <t>Crucible weight</t>
  </si>
  <si>
    <t>W(C+ pre)</t>
  </si>
  <si>
    <t>W(pre) g</t>
  </si>
  <si>
    <t>W(pre) mg</t>
  </si>
  <si>
    <t>w(C+after)</t>
  </si>
  <si>
    <t>w(after) g</t>
  </si>
  <si>
    <t>W(after) mg</t>
  </si>
  <si>
    <t>Difference</t>
  </si>
  <si>
    <t>DBD</t>
  </si>
  <si>
    <t>% LOI</t>
  </si>
  <si>
    <t>% org carbon</t>
  </si>
  <si>
    <t>SOC density</t>
  </si>
  <si>
    <t>amount carbon</t>
  </si>
  <si>
    <t>intervall_length</t>
  </si>
  <si>
    <t>calc_carbon</t>
  </si>
  <si>
    <t>calc_carbon_cm</t>
  </si>
  <si>
    <t>Notes</t>
  </si>
  <si>
    <t>Fishpond</t>
  </si>
  <si>
    <t xml:space="preserve">bottom </t>
  </si>
  <si>
    <t>middle</t>
  </si>
  <si>
    <t>top</t>
  </si>
  <si>
    <t>bottom</t>
  </si>
  <si>
    <t>took out a lot of shells</t>
  </si>
  <si>
    <t>Badas</t>
  </si>
  <si>
    <t>Tamisan</t>
  </si>
  <si>
    <t>coarse at combusiton</t>
  </si>
  <si>
    <t>very coarse soil, almost no fine sediments</t>
  </si>
  <si>
    <t>PVC, very coarse soil</t>
  </si>
  <si>
    <t>many big roots in the bottom part</t>
  </si>
  <si>
    <t>Mangguihay</t>
  </si>
  <si>
    <t>only 45 cm in the soil - denial</t>
  </si>
  <si>
    <t>lots of big roots, taken out in the field, changes the volume</t>
  </si>
  <si>
    <t>lots of water in the sample</t>
  </si>
  <si>
    <t>very coarse soil, big grain size</t>
  </si>
  <si>
    <t>plastic in the sample</t>
  </si>
  <si>
    <t>Baganga</t>
  </si>
  <si>
    <t>empty, no more sample left</t>
  </si>
  <si>
    <t>many particles &gt;2 mm, empty, no more sample left</t>
  </si>
  <si>
    <t>almost only roots</t>
  </si>
  <si>
    <t>not possible, too coarse</t>
  </si>
  <si>
    <t>corrected DBD</t>
  </si>
  <si>
    <t xml:space="preserve">% org carbon </t>
  </si>
  <si>
    <t>mean_comp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</si>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</sst>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553-BFC5-B54F-B725-EFDA75BAC34F}">
  <dimension ref="A1:AK109"/>
  <sheetViews>
    <sheetView zoomScale="131" workbookViewId="0">
      <pane ySplit="1" topLeftCell="A81" activePane="bottomLeft" state="frozen"/>
      <selection pane="bottomLeft" sqref="A1:XFD109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61</v>
      </c>
      <c r="AF1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2018</v>
      </c>
      <c r="C2">
        <f t="shared" ref="C2:C28" si="0">2025-B2</f>
        <v>7</v>
      </c>
      <c r="D2">
        <v>1</v>
      </c>
      <c r="E2">
        <v>1</v>
      </c>
      <c r="F2" t="s">
        <v>38</v>
      </c>
      <c r="L2" s="1"/>
      <c r="AG2" s="6"/>
      <c r="AH2" s="6"/>
      <c r="AI2" s="6"/>
      <c r="AJ2" s="6"/>
    </row>
    <row r="3" spans="1:37" x14ac:dyDescent="0.2">
      <c r="A3" t="s">
        <v>37</v>
      </c>
      <c r="B3">
        <v>2018</v>
      </c>
      <c r="C3">
        <f t="shared" si="0"/>
        <v>7</v>
      </c>
      <c r="D3">
        <v>1</v>
      </c>
      <c r="E3">
        <v>1</v>
      </c>
      <c r="F3" t="s">
        <v>39</v>
      </c>
      <c r="G3">
        <v>100</v>
      </c>
      <c r="H3">
        <v>27</v>
      </c>
      <c r="I3">
        <f>H3/G3</f>
        <v>0.27</v>
      </c>
      <c r="K3">
        <v>30</v>
      </c>
      <c r="L3" s="1">
        <v>10</v>
      </c>
      <c r="M3">
        <v>5.14</v>
      </c>
      <c r="N3">
        <v>48.21</v>
      </c>
      <c r="O3">
        <f>N3-M3</f>
        <v>43.07</v>
      </c>
      <c r="P3">
        <v>31.73</v>
      </c>
      <c r="Q3">
        <f>P3-M3</f>
        <v>26.59</v>
      </c>
      <c r="R3">
        <f>O3-Q3</f>
        <v>16.48</v>
      </c>
      <c r="S3">
        <f>((O3-Q3)/O3)*100</f>
        <v>38.263292314836313</v>
      </c>
      <c r="T3">
        <v>10</v>
      </c>
      <c r="U3">
        <v>28.59</v>
      </c>
      <c r="V3">
        <v>31.501000000000001</v>
      </c>
      <c r="W3">
        <f>V3-U3</f>
        <v>2.9110000000000014</v>
      </c>
      <c r="X3">
        <f>W3*1000</f>
        <v>2911.0000000000014</v>
      </c>
      <c r="Y3">
        <v>31.300999999999998</v>
      </c>
      <c r="Z3">
        <f>Y3-U3</f>
        <v>2.7109999999999985</v>
      </c>
      <c r="AA3">
        <f>Z3*1000</f>
        <v>2710.9999999999986</v>
      </c>
      <c r="AB3">
        <f>X3-AA3</f>
        <v>200.00000000000273</v>
      </c>
      <c r="AC3">
        <v>0.70440106584149897</v>
      </c>
      <c r="AD3">
        <f>((X3-AA3)/X3)*100</f>
        <v>6.8704912401237594</v>
      </c>
      <c r="AE3">
        <f>0.36*AD3+2.4</f>
        <v>4.873376846444553</v>
      </c>
      <c r="AF3">
        <f>AC3*(AE3/100)</f>
        <v>3.4328118448828257E-2</v>
      </c>
      <c r="AG3" s="6">
        <f>AF3*AH3</f>
        <v>1.1431263443459809</v>
      </c>
      <c r="AH3" s="6">
        <v>33.299999999999997</v>
      </c>
      <c r="AI3" s="6">
        <f>AG3</f>
        <v>1.1431263443459809</v>
      </c>
      <c r="AJ3" s="6">
        <f>AI3/AH3</f>
        <v>3.4328118448828257E-2</v>
      </c>
    </row>
    <row r="4" spans="1:37" x14ac:dyDescent="0.2">
      <c r="A4" t="s">
        <v>37</v>
      </c>
      <c r="B4">
        <v>2018</v>
      </c>
      <c r="C4">
        <f t="shared" si="0"/>
        <v>7</v>
      </c>
      <c r="D4">
        <v>1</v>
      </c>
      <c r="E4">
        <v>1</v>
      </c>
      <c r="F4" t="s">
        <v>40</v>
      </c>
      <c r="G4">
        <v>100</v>
      </c>
      <c r="H4">
        <v>27</v>
      </c>
      <c r="I4">
        <f>H4/G4</f>
        <v>0.27</v>
      </c>
      <c r="K4">
        <v>30</v>
      </c>
      <c r="L4" s="1">
        <v>15</v>
      </c>
      <c r="M4">
        <v>5.13</v>
      </c>
      <c r="N4">
        <v>41</v>
      </c>
      <c r="O4">
        <f>N4-M4</f>
        <v>35.869999999999997</v>
      </c>
      <c r="P4">
        <v>23.25</v>
      </c>
      <c r="Q4">
        <f>P4-M4</f>
        <v>18.12</v>
      </c>
      <c r="R4">
        <f>O4-Q4</f>
        <v>17.749999999999996</v>
      </c>
      <c r="S4">
        <f>((O4-Q4)/O4)*100</f>
        <v>49.484248675773621</v>
      </c>
      <c r="T4">
        <v>15</v>
      </c>
      <c r="U4">
        <v>27.856000000000002</v>
      </c>
      <c r="V4">
        <v>30.731000000000002</v>
      </c>
      <c r="W4">
        <f>V4-U4</f>
        <v>2.875</v>
      </c>
      <c r="X4">
        <f>W4*1000</f>
        <v>2875</v>
      </c>
      <c r="Y4">
        <v>30.305</v>
      </c>
      <c r="Z4">
        <f>Y4-U4</f>
        <v>2.4489999999999981</v>
      </c>
      <c r="AA4">
        <f>Z4*1000</f>
        <v>2448.9999999999982</v>
      </c>
      <c r="AB4">
        <f>X4-AA4</f>
        <v>426.00000000000182</v>
      </c>
      <c r="AC4">
        <v>0.78573459370935805</v>
      </c>
      <c r="AD4">
        <f>((X4-AA4)/X4)*100</f>
        <v>14.81739130434789</v>
      </c>
      <c r="AE4">
        <f t="shared" ref="AE4:AE5" si="1">0.36*AD4+2.4</f>
        <v>7.7342608695652402</v>
      </c>
      <c r="AF4">
        <f>AC4*(AE4/100)</f>
        <v>6.0770763219900305E-2</v>
      </c>
      <c r="AG4" s="6">
        <f t="shared" ref="AG4:AG8" si="2">AF4*AH4</f>
        <v>2.0236664152226798</v>
      </c>
      <c r="AH4" s="6">
        <v>33.299999999999997</v>
      </c>
      <c r="AI4" s="6">
        <f t="shared" ref="AI4:AI8" si="3">AG4</f>
        <v>2.0236664152226798</v>
      </c>
      <c r="AJ4" s="6">
        <f t="shared" ref="AJ4:AJ18" si="4">AI4/AH4</f>
        <v>6.0770763219900298E-2</v>
      </c>
    </row>
    <row r="5" spans="1:37" x14ac:dyDescent="0.2">
      <c r="A5" t="s">
        <v>37</v>
      </c>
      <c r="B5">
        <v>2018</v>
      </c>
      <c r="C5">
        <f t="shared" si="0"/>
        <v>7</v>
      </c>
      <c r="D5">
        <v>1</v>
      </c>
      <c r="E5">
        <v>2</v>
      </c>
      <c r="F5" s="3" t="s">
        <v>41</v>
      </c>
      <c r="G5" s="3">
        <v>100</v>
      </c>
      <c r="H5" s="3">
        <v>30</v>
      </c>
      <c r="I5" s="3">
        <f>H5/G5</f>
        <v>0.3</v>
      </c>
      <c r="J5" s="3"/>
      <c r="K5">
        <v>30</v>
      </c>
      <c r="L5" s="1">
        <v>26</v>
      </c>
      <c r="M5">
        <v>4.99</v>
      </c>
      <c r="N5">
        <v>41.91</v>
      </c>
      <c r="O5">
        <f>N5-M5</f>
        <v>36.919999999999995</v>
      </c>
      <c r="P5">
        <v>22.33</v>
      </c>
      <c r="Q5">
        <f>P5-M5</f>
        <v>17.339999999999996</v>
      </c>
      <c r="R5">
        <f>O5-Q5</f>
        <v>19.579999999999998</v>
      </c>
      <c r="S5">
        <f>((O5-Q5)/O5)*100</f>
        <v>53.033586132177682</v>
      </c>
      <c r="T5">
        <v>26</v>
      </c>
      <c r="U5">
        <v>29.137</v>
      </c>
      <c r="V5">
        <v>32.795999999999999</v>
      </c>
      <c r="W5">
        <f>V5-U5</f>
        <v>3.6589999999999989</v>
      </c>
      <c r="X5">
        <f>W5*1000</f>
        <v>3658.9999999999991</v>
      </c>
      <c r="Y5">
        <v>32.319000000000003</v>
      </c>
      <c r="Z5">
        <f>Y5-U5</f>
        <v>3.1820000000000022</v>
      </c>
      <c r="AA5">
        <f>Z5*1000</f>
        <v>3182.0000000000023</v>
      </c>
      <c r="AB5">
        <f>X5-AA5</f>
        <v>476.99999999999682</v>
      </c>
      <c r="AC5">
        <v>0.9189406814809622</v>
      </c>
      <c r="AD5">
        <f>((X5-AA5)/X5)*100</f>
        <v>13.03634872916089</v>
      </c>
      <c r="AE5">
        <f t="shared" si="1"/>
        <v>7.0930855424979207</v>
      </c>
      <c r="AF5">
        <f>AC5*(AE5/100)</f>
        <v>6.5181248622257992E-2</v>
      </c>
      <c r="AG5" s="6">
        <f t="shared" si="2"/>
        <v>2.1705355791211911</v>
      </c>
      <c r="AH5" s="6">
        <v>33.299999999999997</v>
      </c>
      <c r="AI5" s="6">
        <f t="shared" si="3"/>
        <v>2.1705355791211911</v>
      </c>
      <c r="AJ5" s="6">
        <f t="shared" si="4"/>
        <v>6.5181248622257992E-2</v>
      </c>
    </row>
    <row r="6" spans="1:37" x14ac:dyDescent="0.2">
      <c r="A6" t="s">
        <v>37</v>
      </c>
      <c r="B6">
        <v>2018</v>
      </c>
      <c r="C6">
        <f t="shared" si="0"/>
        <v>7</v>
      </c>
      <c r="D6">
        <v>1</v>
      </c>
      <c r="E6">
        <v>2</v>
      </c>
      <c r="F6" t="s">
        <v>39</v>
      </c>
      <c r="L6" s="1"/>
      <c r="AG6" s="6"/>
      <c r="AH6" s="6"/>
      <c r="AI6" s="6"/>
      <c r="AJ6" s="6"/>
    </row>
    <row r="7" spans="1:37" x14ac:dyDescent="0.2">
      <c r="A7" t="s">
        <v>37</v>
      </c>
      <c r="B7">
        <v>2018</v>
      </c>
      <c r="C7">
        <f t="shared" si="0"/>
        <v>7</v>
      </c>
      <c r="D7">
        <v>1</v>
      </c>
      <c r="E7">
        <v>2</v>
      </c>
      <c r="F7" t="s">
        <v>40</v>
      </c>
      <c r="G7">
        <v>100</v>
      </c>
      <c r="H7">
        <v>27</v>
      </c>
      <c r="I7">
        <v>0.27</v>
      </c>
      <c r="K7">
        <v>55.4</v>
      </c>
      <c r="L7" s="1">
        <v>28</v>
      </c>
      <c r="M7">
        <v>4.96</v>
      </c>
      <c r="N7">
        <v>69.8</v>
      </c>
      <c r="O7">
        <f t="shared" ref="O7:O20" si="5">N7-M7</f>
        <v>64.84</v>
      </c>
      <c r="P7">
        <v>44.27</v>
      </c>
      <c r="Q7">
        <f t="shared" ref="Q7:Q20" si="6">P7-M7</f>
        <v>39.31</v>
      </c>
      <c r="R7">
        <f t="shared" ref="R7:R20" si="7">O7-Q7</f>
        <v>25.53</v>
      </c>
      <c r="S7">
        <f t="shared" ref="S7:S20" si="8">((O7-Q7)/O7)*100</f>
        <v>39.373843306600861</v>
      </c>
      <c r="T7">
        <v>28</v>
      </c>
      <c r="U7">
        <v>28.417999999999999</v>
      </c>
      <c r="V7">
        <v>32.786999999999999</v>
      </c>
      <c r="W7">
        <f t="shared" ref="W7:W20" si="9">V7-U7</f>
        <v>4.3689999999999998</v>
      </c>
      <c r="X7">
        <f t="shared" ref="X7:X20" si="10">W7*1000</f>
        <v>4369</v>
      </c>
      <c r="Y7">
        <v>32.396999999999998</v>
      </c>
      <c r="Z7">
        <f t="shared" ref="Z7:Z20" si="11">Y7-U7</f>
        <v>3.9789999999999992</v>
      </c>
      <c r="AA7">
        <f t="shared" ref="AA7:AA20" si="12">Z7*1000</f>
        <v>3978.9999999999991</v>
      </c>
      <c r="AB7">
        <f t="shared" ref="AB7:AB20" si="13">X7-AA7</f>
        <v>390.00000000000091</v>
      </c>
      <c r="AC7">
        <v>0.78573459370935805</v>
      </c>
      <c r="AD7">
        <f>((X7-AA7)/X7)*100</f>
        <v>8.9265278095674283</v>
      </c>
      <c r="AE7">
        <f>0.36*AD7+2.4</f>
        <v>5.613550011444274</v>
      </c>
      <c r="AF7">
        <f>AC7*(AE7/100)</f>
        <v>4.4107604375093284E-2</v>
      </c>
      <c r="AG7" s="6">
        <f t="shared" si="2"/>
        <v>1.4687832256906062</v>
      </c>
      <c r="AH7" s="6">
        <v>33.299999999999997</v>
      </c>
      <c r="AI7" s="6">
        <f t="shared" si="3"/>
        <v>1.4687832256906062</v>
      </c>
      <c r="AJ7" s="6">
        <f t="shared" si="4"/>
        <v>4.4107604375093284E-2</v>
      </c>
      <c r="AK7" t="s">
        <v>42</v>
      </c>
    </row>
    <row r="8" spans="1:37" x14ac:dyDescent="0.2">
      <c r="A8" t="s">
        <v>37</v>
      </c>
      <c r="B8">
        <v>2018</v>
      </c>
      <c r="C8">
        <f t="shared" si="0"/>
        <v>7</v>
      </c>
      <c r="D8">
        <v>1</v>
      </c>
      <c r="E8">
        <v>3</v>
      </c>
      <c r="F8" s="3" t="s">
        <v>41</v>
      </c>
      <c r="G8">
        <v>100</v>
      </c>
      <c r="H8">
        <v>27</v>
      </c>
      <c r="I8">
        <v>0.27</v>
      </c>
      <c r="K8">
        <v>72.099999999999994</v>
      </c>
      <c r="L8" s="1">
        <v>30</v>
      </c>
      <c r="M8">
        <v>5.03</v>
      </c>
      <c r="N8">
        <v>106.82</v>
      </c>
      <c r="O8">
        <f t="shared" si="5"/>
        <v>101.78999999999999</v>
      </c>
      <c r="P8">
        <v>47.38</v>
      </c>
      <c r="Q8">
        <f t="shared" si="6"/>
        <v>42.35</v>
      </c>
      <c r="R8">
        <f t="shared" si="7"/>
        <v>59.439999999999991</v>
      </c>
      <c r="S8">
        <f t="shared" si="8"/>
        <v>58.394734256803218</v>
      </c>
      <c r="T8">
        <v>30</v>
      </c>
      <c r="U8">
        <v>29.242000000000001</v>
      </c>
      <c r="V8">
        <v>32.277000000000001</v>
      </c>
      <c r="W8">
        <f t="shared" si="9"/>
        <v>3.0350000000000001</v>
      </c>
      <c r="X8">
        <f t="shared" si="10"/>
        <v>3035</v>
      </c>
      <c r="Y8">
        <v>31.776</v>
      </c>
      <c r="Z8">
        <f t="shared" si="11"/>
        <v>2.5339999999999989</v>
      </c>
      <c r="AA8">
        <f t="shared" si="12"/>
        <v>2533.9999999999991</v>
      </c>
      <c r="AB8">
        <f t="shared" si="13"/>
        <v>501.00000000000091</v>
      </c>
      <c r="AC8">
        <v>0.9189406814809622</v>
      </c>
      <c r="AD8">
        <f>((X8-AA8)/X8)*100</f>
        <v>16.507413509060985</v>
      </c>
      <c r="AE8">
        <f t="shared" ref="AE8:AE28" si="14">0.36*AD8+2.4</f>
        <v>8.3426688632619541</v>
      </c>
      <c r="AF8">
        <f>AC8*(AE8/100)</f>
        <v>7.6664178105759442E-2</v>
      </c>
      <c r="AG8" s="6">
        <f t="shared" si="2"/>
        <v>2.5529171309217893</v>
      </c>
      <c r="AH8" s="6">
        <v>33.299999999999997</v>
      </c>
      <c r="AI8" s="6">
        <f t="shared" si="3"/>
        <v>2.5529171309217893</v>
      </c>
      <c r="AJ8" s="6">
        <f t="shared" si="4"/>
        <v>7.6664178105759442E-2</v>
      </c>
    </row>
    <row r="9" spans="1:37" x14ac:dyDescent="0.2">
      <c r="A9" t="s">
        <v>37</v>
      </c>
      <c r="B9">
        <v>2018</v>
      </c>
      <c r="C9">
        <f t="shared" si="0"/>
        <v>7</v>
      </c>
      <c r="D9">
        <v>1</v>
      </c>
      <c r="E9">
        <v>3</v>
      </c>
      <c r="F9" t="s">
        <v>39</v>
      </c>
      <c r="G9">
        <v>100</v>
      </c>
      <c r="H9">
        <v>27</v>
      </c>
      <c r="I9">
        <v>0.27</v>
      </c>
      <c r="K9">
        <v>30</v>
      </c>
      <c r="L9" s="1">
        <v>27</v>
      </c>
      <c r="M9">
        <v>5</v>
      </c>
      <c r="N9">
        <v>36.07</v>
      </c>
      <c r="O9">
        <f t="shared" si="5"/>
        <v>31.07</v>
      </c>
      <c r="P9">
        <v>18.2</v>
      </c>
      <c r="Q9">
        <f t="shared" si="6"/>
        <v>13.2</v>
      </c>
      <c r="R9">
        <f t="shared" si="7"/>
        <v>17.87</v>
      </c>
      <c r="S9">
        <f t="shared" si="8"/>
        <v>57.515288059221113</v>
      </c>
      <c r="T9">
        <v>27</v>
      </c>
      <c r="U9">
        <v>29.591000000000001</v>
      </c>
      <c r="V9">
        <v>33.566000000000003</v>
      </c>
      <c r="W9">
        <f t="shared" si="9"/>
        <v>3.9750000000000014</v>
      </c>
      <c r="X9">
        <f t="shared" si="10"/>
        <v>3975.0000000000014</v>
      </c>
      <c r="Y9">
        <v>32.86</v>
      </c>
      <c r="Z9">
        <f t="shared" si="11"/>
        <v>3.2689999999999984</v>
      </c>
      <c r="AA9">
        <f t="shared" si="12"/>
        <v>3268.9999999999982</v>
      </c>
      <c r="AB9">
        <f t="shared" si="13"/>
        <v>706.00000000000318</v>
      </c>
      <c r="AC9">
        <v>0.70440106584149909</v>
      </c>
      <c r="AD9">
        <f>((X9-AA9)/X9)*100</f>
        <v>17.761006289308252</v>
      </c>
      <c r="AE9">
        <f t="shared" si="14"/>
        <v>8.79396226415097</v>
      </c>
      <c r="AF9">
        <f>AC9*(AE9/100)</f>
        <v>6.1944763918378658E-2</v>
      </c>
      <c r="AG9" s="6">
        <f>AF9*AH9</f>
        <v>2.062760638482009</v>
      </c>
      <c r="AH9" s="6">
        <v>33.299999999999997</v>
      </c>
      <c r="AI9" s="6">
        <f>AG9</f>
        <v>2.062760638482009</v>
      </c>
      <c r="AJ9" s="6">
        <f t="shared" si="4"/>
        <v>6.1944763918378651E-2</v>
      </c>
    </row>
    <row r="10" spans="1:37" x14ac:dyDescent="0.2">
      <c r="A10" t="s">
        <v>37</v>
      </c>
      <c r="B10">
        <v>2018</v>
      </c>
      <c r="C10">
        <f t="shared" si="0"/>
        <v>7</v>
      </c>
      <c r="D10">
        <v>1</v>
      </c>
      <c r="E10">
        <v>3</v>
      </c>
      <c r="F10" t="s">
        <v>40</v>
      </c>
      <c r="G10" s="3">
        <v>100</v>
      </c>
      <c r="H10" s="3">
        <v>30</v>
      </c>
      <c r="I10" s="3">
        <f t="shared" ref="I10:I20" si="15">H10/G10</f>
        <v>0.3</v>
      </c>
      <c r="J10" s="3"/>
      <c r="K10">
        <v>72.099999999999994</v>
      </c>
      <c r="L10" s="1">
        <v>24</v>
      </c>
      <c r="M10">
        <v>5.04</v>
      </c>
      <c r="N10">
        <v>109.07</v>
      </c>
      <c r="O10">
        <f t="shared" si="5"/>
        <v>104.02999999999999</v>
      </c>
      <c r="P10">
        <v>41.13</v>
      </c>
      <c r="Q10">
        <f t="shared" si="6"/>
        <v>36.090000000000003</v>
      </c>
      <c r="R10">
        <f t="shared" si="7"/>
        <v>67.939999999999984</v>
      </c>
      <c r="S10">
        <f t="shared" si="8"/>
        <v>65.308084206478895</v>
      </c>
      <c r="T10">
        <v>24</v>
      </c>
      <c r="U10">
        <v>29.565999999999999</v>
      </c>
      <c r="V10">
        <v>32.936999999999998</v>
      </c>
      <c r="W10">
        <f t="shared" si="9"/>
        <v>3.3709999999999987</v>
      </c>
      <c r="X10">
        <f t="shared" si="10"/>
        <v>3370.9999999999986</v>
      </c>
      <c r="Y10">
        <v>32.131</v>
      </c>
      <c r="Z10">
        <f t="shared" si="11"/>
        <v>2.5650000000000013</v>
      </c>
      <c r="AA10">
        <f t="shared" si="12"/>
        <v>2565.0000000000014</v>
      </c>
      <c r="AB10">
        <f t="shared" si="13"/>
        <v>805.99999999999727</v>
      </c>
      <c r="AC10">
        <v>0.78573459370935805</v>
      </c>
      <c r="AD10">
        <f>((X10-AA10)/X10)*100</f>
        <v>23.90981904479376</v>
      </c>
      <c r="AE10">
        <f t="shared" si="14"/>
        <v>11.007534856125753</v>
      </c>
      <c r="AF10">
        <f>AC10*(AE10/100)</f>
        <v>8.6490009279195659E-2</v>
      </c>
      <c r="AG10" s="6">
        <f>AF10*AH10</f>
        <v>2.8801173089972152</v>
      </c>
      <c r="AH10" s="6">
        <v>33.299999999999997</v>
      </c>
      <c r="AI10" s="6">
        <f>AG10</f>
        <v>2.8801173089972152</v>
      </c>
      <c r="AJ10" s="6">
        <f t="shared" si="4"/>
        <v>8.6490009279195659E-2</v>
      </c>
    </row>
    <row r="11" spans="1:37" x14ac:dyDescent="0.2">
      <c r="A11" t="s">
        <v>37</v>
      </c>
      <c r="B11">
        <v>2016</v>
      </c>
      <c r="C11">
        <f t="shared" si="0"/>
        <v>9</v>
      </c>
      <c r="D11">
        <v>2</v>
      </c>
      <c r="E11">
        <v>1</v>
      </c>
      <c r="F11" s="3" t="s">
        <v>41</v>
      </c>
      <c r="G11" s="3">
        <v>100</v>
      </c>
      <c r="H11" s="3">
        <v>30</v>
      </c>
      <c r="I11" s="3">
        <f t="shared" si="15"/>
        <v>0.3</v>
      </c>
      <c r="J11" s="3"/>
      <c r="K11">
        <v>30</v>
      </c>
      <c r="L11" s="1">
        <v>17</v>
      </c>
      <c r="M11">
        <v>5.1100000000000003</v>
      </c>
      <c r="N11">
        <v>42.72</v>
      </c>
      <c r="O11">
        <f t="shared" si="5"/>
        <v>37.61</v>
      </c>
      <c r="P11">
        <v>31.37</v>
      </c>
      <c r="Q11">
        <f t="shared" si="6"/>
        <v>26.26</v>
      </c>
      <c r="R11">
        <f t="shared" si="7"/>
        <v>11.349999999999998</v>
      </c>
      <c r="S11">
        <f t="shared" si="8"/>
        <v>30.178144110608873</v>
      </c>
      <c r="T11">
        <v>4</v>
      </c>
      <c r="U11">
        <v>27.8</v>
      </c>
      <c r="V11">
        <v>31.904</v>
      </c>
      <c r="W11">
        <f t="shared" si="9"/>
        <v>4.1039999999999992</v>
      </c>
      <c r="X11">
        <f t="shared" si="10"/>
        <v>4103.9999999999991</v>
      </c>
      <c r="Y11">
        <v>31.706</v>
      </c>
      <c r="Z11">
        <f t="shared" si="11"/>
        <v>3.9059999999999988</v>
      </c>
      <c r="AA11">
        <f t="shared" si="12"/>
        <v>3905.9999999999986</v>
      </c>
      <c r="AB11">
        <f t="shared" si="13"/>
        <v>198.00000000000045</v>
      </c>
      <c r="AC11">
        <v>0.9189406814809622</v>
      </c>
      <c r="AD11">
        <f>((X11-AA11)/X11)*100</f>
        <v>4.8245614035087838</v>
      </c>
      <c r="AE11">
        <f t="shared" si="14"/>
        <v>4.1368421052631623</v>
      </c>
      <c r="AF11">
        <f>AC11*(AE11/100)</f>
        <v>3.8015125033896688E-2</v>
      </c>
      <c r="AG11" s="6">
        <f>AF11*AH11</f>
        <v>1.2659036636287595</v>
      </c>
      <c r="AH11" s="6">
        <v>33.299999999999997</v>
      </c>
      <c r="AI11" s="6">
        <f>AG11</f>
        <v>1.2659036636287595</v>
      </c>
      <c r="AJ11" s="6">
        <f t="shared" si="4"/>
        <v>3.8015125033896688E-2</v>
      </c>
    </row>
    <row r="12" spans="1:37" x14ac:dyDescent="0.2">
      <c r="A12" t="s">
        <v>37</v>
      </c>
      <c r="B12">
        <v>2016</v>
      </c>
      <c r="C12">
        <f t="shared" si="0"/>
        <v>9</v>
      </c>
      <c r="D12">
        <v>2</v>
      </c>
      <c r="E12">
        <v>1</v>
      </c>
      <c r="F12" t="s">
        <v>39</v>
      </c>
      <c r="L12" s="1"/>
      <c r="AG12" s="6"/>
      <c r="AH12" s="6"/>
      <c r="AI12" s="6"/>
      <c r="AJ12" s="6"/>
    </row>
    <row r="13" spans="1:37" x14ac:dyDescent="0.2">
      <c r="A13" t="s">
        <v>37</v>
      </c>
      <c r="B13">
        <v>2016</v>
      </c>
      <c r="C13">
        <f t="shared" si="0"/>
        <v>9</v>
      </c>
      <c r="D13">
        <v>2</v>
      </c>
      <c r="E13">
        <v>1</v>
      </c>
      <c r="F13" t="s">
        <v>40</v>
      </c>
      <c r="G13" s="3">
        <v>100</v>
      </c>
      <c r="H13" s="3">
        <v>30</v>
      </c>
      <c r="I13" s="3">
        <f t="shared" si="15"/>
        <v>0.3</v>
      </c>
      <c r="J13" s="3"/>
      <c r="K13">
        <v>30</v>
      </c>
      <c r="L13" s="1">
        <v>18</v>
      </c>
      <c r="M13">
        <v>5.07</v>
      </c>
      <c r="N13">
        <v>46.72</v>
      </c>
      <c r="O13">
        <f t="shared" si="5"/>
        <v>41.65</v>
      </c>
      <c r="P13">
        <v>33.200000000000003</v>
      </c>
      <c r="Q13">
        <f t="shared" si="6"/>
        <v>28.130000000000003</v>
      </c>
      <c r="R13">
        <f t="shared" si="7"/>
        <v>13.519999999999996</v>
      </c>
      <c r="S13">
        <f t="shared" si="8"/>
        <v>32.460984393757499</v>
      </c>
      <c r="T13">
        <v>6</v>
      </c>
      <c r="U13">
        <v>30.184000000000001</v>
      </c>
      <c r="V13">
        <v>33.36</v>
      </c>
      <c r="W13">
        <f t="shared" si="9"/>
        <v>3.1759999999999984</v>
      </c>
      <c r="X13">
        <f t="shared" si="10"/>
        <v>3175.9999999999982</v>
      </c>
      <c r="Y13">
        <v>33.176000000000002</v>
      </c>
      <c r="Z13">
        <f t="shared" si="11"/>
        <v>2.9920000000000009</v>
      </c>
      <c r="AA13">
        <f t="shared" si="12"/>
        <v>2992.0000000000009</v>
      </c>
      <c r="AB13">
        <f t="shared" si="13"/>
        <v>183.99999999999727</v>
      </c>
      <c r="AC13">
        <v>0.78573459370935805</v>
      </c>
      <c r="AD13">
        <f t="shared" ref="AD13:AD20" si="16">((X13-AA13)/X13)*100</f>
        <v>5.7934508816120083</v>
      </c>
      <c r="AE13">
        <f t="shared" si="14"/>
        <v>4.4856423173803233</v>
      </c>
      <c r="AF13">
        <f t="shared" ref="AF13:AF20" si="17">AC13*(AE13/100)</f>
        <v>3.5245243437723318E-2</v>
      </c>
      <c r="AG13" s="6">
        <f t="shared" ref="AG13:AG20" si="18">AF13*AH13</f>
        <v>1.1736666064761865</v>
      </c>
      <c r="AH13" s="6">
        <v>33.299999999999997</v>
      </c>
      <c r="AI13" s="6">
        <f t="shared" ref="AI13:AI20" si="19">AG13</f>
        <v>1.1736666064761865</v>
      </c>
      <c r="AJ13" s="6">
        <f t="shared" si="4"/>
        <v>3.5245243437723318E-2</v>
      </c>
    </row>
    <row r="14" spans="1:37" x14ac:dyDescent="0.2">
      <c r="A14" t="s">
        <v>37</v>
      </c>
      <c r="B14">
        <v>2016</v>
      </c>
      <c r="C14">
        <f t="shared" si="0"/>
        <v>9</v>
      </c>
      <c r="D14">
        <v>2</v>
      </c>
      <c r="E14">
        <v>2</v>
      </c>
      <c r="F14" s="3" t="s">
        <v>41</v>
      </c>
      <c r="G14">
        <v>50</v>
      </c>
      <c r="H14">
        <v>28</v>
      </c>
      <c r="I14">
        <f t="shared" si="15"/>
        <v>0.56000000000000005</v>
      </c>
      <c r="K14">
        <v>30</v>
      </c>
      <c r="L14" s="1">
        <v>25</v>
      </c>
      <c r="M14">
        <v>5.0199999999999996</v>
      </c>
      <c r="N14">
        <v>52.46</v>
      </c>
      <c r="O14">
        <f t="shared" si="5"/>
        <v>47.44</v>
      </c>
      <c r="P14">
        <v>39.409999999999997</v>
      </c>
      <c r="Q14">
        <f t="shared" si="6"/>
        <v>34.39</v>
      </c>
      <c r="R14">
        <f t="shared" si="7"/>
        <v>13.049999999999997</v>
      </c>
      <c r="S14">
        <f t="shared" si="8"/>
        <v>27.508431703204046</v>
      </c>
      <c r="T14">
        <v>25</v>
      </c>
      <c r="U14">
        <v>26.797999999999998</v>
      </c>
      <c r="V14">
        <v>30.773</v>
      </c>
      <c r="W14">
        <f t="shared" si="9"/>
        <v>3.9750000000000014</v>
      </c>
      <c r="X14">
        <f t="shared" si="10"/>
        <v>3975.0000000000014</v>
      </c>
      <c r="Y14">
        <v>30.59</v>
      </c>
      <c r="Z14">
        <f t="shared" si="11"/>
        <v>3.7920000000000016</v>
      </c>
      <c r="AA14">
        <f t="shared" si="12"/>
        <v>3792.0000000000018</v>
      </c>
      <c r="AB14">
        <f t="shared" si="13"/>
        <v>182.99999999999955</v>
      </c>
      <c r="AC14">
        <v>0.9189406814809622</v>
      </c>
      <c r="AD14">
        <f t="shared" si="16"/>
        <v>4.6037735849056478</v>
      </c>
      <c r="AE14">
        <f t="shared" si="14"/>
        <v>4.0573584905660329</v>
      </c>
      <c r="AF14">
        <f t="shared" si="17"/>
        <v>3.7284717763333183E-2</v>
      </c>
      <c r="AG14" s="6">
        <f t="shared" si="18"/>
        <v>1.2415811015189948</v>
      </c>
      <c r="AH14" s="6">
        <v>33.299999999999997</v>
      </c>
      <c r="AI14" s="6">
        <f t="shared" si="19"/>
        <v>1.2415811015189948</v>
      </c>
      <c r="AJ14" s="6">
        <f t="shared" si="4"/>
        <v>3.7284717763333183E-2</v>
      </c>
    </row>
    <row r="15" spans="1:37" x14ac:dyDescent="0.2">
      <c r="A15" t="s">
        <v>37</v>
      </c>
      <c r="B15">
        <v>2016</v>
      </c>
      <c r="C15">
        <f t="shared" si="0"/>
        <v>9</v>
      </c>
      <c r="D15">
        <v>2</v>
      </c>
      <c r="E15">
        <v>2</v>
      </c>
      <c r="F15" t="s">
        <v>39</v>
      </c>
      <c r="G15">
        <v>50</v>
      </c>
      <c r="H15">
        <v>28</v>
      </c>
      <c r="I15">
        <f t="shared" si="15"/>
        <v>0.56000000000000005</v>
      </c>
      <c r="K15">
        <v>55.4</v>
      </c>
      <c r="L15" s="1">
        <v>33</v>
      </c>
      <c r="M15">
        <v>4.99</v>
      </c>
      <c r="N15">
        <v>84.92</v>
      </c>
      <c r="O15">
        <f t="shared" si="5"/>
        <v>79.930000000000007</v>
      </c>
      <c r="P15">
        <v>36.33</v>
      </c>
      <c r="Q15">
        <f t="shared" si="6"/>
        <v>31.339999999999996</v>
      </c>
      <c r="R15">
        <f t="shared" si="7"/>
        <v>48.590000000000011</v>
      </c>
      <c r="S15">
        <f t="shared" si="8"/>
        <v>60.79069185537346</v>
      </c>
      <c r="T15">
        <v>33</v>
      </c>
      <c r="U15">
        <v>29.571999999999999</v>
      </c>
      <c r="V15">
        <v>32.755000000000003</v>
      </c>
      <c r="W15">
        <f t="shared" si="9"/>
        <v>3.1830000000000034</v>
      </c>
      <c r="X15">
        <f t="shared" si="10"/>
        <v>3183.0000000000032</v>
      </c>
      <c r="Y15">
        <v>32.076000000000001</v>
      </c>
      <c r="Z15">
        <f t="shared" si="11"/>
        <v>2.5040000000000013</v>
      </c>
      <c r="AA15">
        <f t="shared" si="12"/>
        <v>2504.0000000000014</v>
      </c>
      <c r="AB15">
        <f>X15-AA15</f>
        <v>679.00000000000182</v>
      </c>
      <c r="AC15">
        <v>0.70440106584149909</v>
      </c>
      <c r="AD15">
        <f t="shared" si="16"/>
        <v>21.332076657241632</v>
      </c>
      <c r="AE15">
        <f t="shared" si="14"/>
        <v>10.079547596606988</v>
      </c>
      <c r="AF15">
        <f t="shared" si="17"/>
        <v>7.1000440702500819E-2</v>
      </c>
      <c r="AG15" s="6">
        <f t="shared" si="18"/>
        <v>2.3643146753932771</v>
      </c>
      <c r="AH15" s="6">
        <v>33.299999999999997</v>
      </c>
      <c r="AI15" s="6">
        <f t="shared" si="19"/>
        <v>2.3643146753932771</v>
      </c>
      <c r="AJ15" s="6">
        <f t="shared" si="4"/>
        <v>7.1000440702500819E-2</v>
      </c>
    </row>
    <row r="16" spans="1:37" x14ac:dyDescent="0.2">
      <c r="A16" t="s">
        <v>37</v>
      </c>
      <c r="B16">
        <v>2016</v>
      </c>
      <c r="C16">
        <f t="shared" si="0"/>
        <v>9</v>
      </c>
      <c r="D16">
        <v>2</v>
      </c>
      <c r="E16">
        <v>2</v>
      </c>
      <c r="F16" t="s">
        <v>40</v>
      </c>
      <c r="G16">
        <v>50</v>
      </c>
      <c r="H16">
        <v>28</v>
      </c>
      <c r="I16">
        <f t="shared" si="15"/>
        <v>0.56000000000000005</v>
      </c>
      <c r="K16">
        <v>30</v>
      </c>
      <c r="L16" s="1">
        <v>23</v>
      </c>
      <c r="M16">
        <v>5.1100000000000003</v>
      </c>
      <c r="N16">
        <v>52.15</v>
      </c>
      <c r="O16">
        <f t="shared" si="5"/>
        <v>47.04</v>
      </c>
      <c r="P16">
        <v>35.83</v>
      </c>
      <c r="Q16">
        <f t="shared" si="6"/>
        <v>30.72</v>
      </c>
      <c r="R16">
        <f t="shared" si="7"/>
        <v>16.32</v>
      </c>
      <c r="S16">
        <f t="shared" si="8"/>
        <v>34.693877551020407</v>
      </c>
      <c r="T16">
        <v>23</v>
      </c>
      <c r="U16">
        <v>28.367999999999999</v>
      </c>
      <c r="V16">
        <v>32.122999999999998</v>
      </c>
      <c r="W16">
        <f t="shared" si="9"/>
        <v>3.754999999999999</v>
      </c>
      <c r="X16">
        <f t="shared" si="10"/>
        <v>3754.9999999999991</v>
      </c>
      <c r="Y16">
        <v>31.834</v>
      </c>
      <c r="Z16">
        <f t="shared" si="11"/>
        <v>3.4660000000000011</v>
      </c>
      <c r="AA16">
        <f t="shared" si="12"/>
        <v>3466.0000000000009</v>
      </c>
      <c r="AB16">
        <f t="shared" si="13"/>
        <v>288.99999999999818</v>
      </c>
      <c r="AC16">
        <v>0.78573459370935805</v>
      </c>
      <c r="AD16">
        <f t="shared" si="16"/>
        <v>7.6964047936084761</v>
      </c>
      <c r="AE16">
        <f t="shared" si="14"/>
        <v>5.170705725699051</v>
      </c>
      <c r="AF16">
        <f t="shared" si="17"/>
        <v>4.0628023625727955E-2</v>
      </c>
      <c r="AG16" s="6">
        <f t="shared" si="18"/>
        <v>1.3529131867367408</v>
      </c>
      <c r="AH16" s="6">
        <v>33.299999999999997</v>
      </c>
      <c r="AI16" s="6">
        <f t="shared" si="19"/>
        <v>1.3529131867367408</v>
      </c>
      <c r="AJ16" s="6">
        <f t="shared" si="4"/>
        <v>4.0628023625727955E-2</v>
      </c>
    </row>
    <row r="17" spans="1:36" x14ac:dyDescent="0.2">
      <c r="A17" t="s">
        <v>37</v>
      </c>
      <c r="B17">
        <v>2016</v>
      </c>
      <c r="C17">
        <f t="shared" si="0"/>
        <v>9</v>
      </c>
      <c r="D17">
        <v>2</v>
      </c>
      <c r="E17">
        <v>3</v>
      </c>
      <c r="F17" t="s">
        <v>41</v>
      </c>
      <c r="G17">
        <v>100</v>
      </c>
      <c r="H17">
        <v>30</v>
      </c>
      <c r="I17">
        <f t="shared" si="15"/>
        <v>0.3</v>
      </c>
      <c r="K17">
        <v>30</v>
      </c>
      <c r="L17" s="1">
        <v>8</v>
      </c>
      <c r="M17">
        <v>5.17</v>
      </c>
      <c r="N17">
        <v>49.43</v>
      </c>
      <c r="O17">
        <f t="shared" si="5"/>
        <v>44.26</v>
      </c>
      <c r="P17">
        <v>38.299999999999997</v>
      </c>
      <c r="Q17">
        <f t="shared" si="6"/>
        <v>33.129999999999995</v>
      </c>
      <c r="R17">
        <f t="shared" si="7"/>
        <v>11.130000000000003</v>
      </c>
      <c r="S17">
        <f t="shared" si="8"/>
        <v>25.146859466787173</v>
      </c>
      <c r="T17">
        <v>8</v>
      </c>
      <c r="U17">
        <v>27.364000000000001</v>
      </c>
      <c r="V17">
        <v>30.826000000000001</v>
      </c>
      <c r="W17">
        <f t="shared" si="9"/>
        <v>3.4619999999999997</v>
      </c>
      <c r="X17">
        <f t="shared" si="10"/>
        <v>3461.9999999999995</v>
      </c>
      <c r="Y17">
        <v>30.695</v>
      </c>
      <c r="Z17">
        <f t="shared" si="11"/>
        <v>3.3309999999999995</v>
      </c>
      <c r="AA17">
        <f t="shared" si="12"/>
        <v>3330.9999999999995</v>
      </c>
      <c r="AB17">
        <f t="shared" si="13"/>
        <v>131</v>
      </c>
      <c r="AC17">
        <v>0.9189406814809622</v>
      </c>
      <c r="AD17">
        <f t="shared" si="16"/>
        <v>3.7839399191218952</v>
      </c>
      <c r="AE17">
        <f t="shared" si="14"/>
        <v>3.7622183708838821</v>
      </c>
      <c r="AF17">
        <f t="shared" si="17"/>
        <v>3.4572555136202304E-2</v>
      </c>
      <c r="AG17" s="6">
        <f t="shared" si="18"/>
        <v>1.1512660860355366</v>
      </c>
      <c r="AH17" s="6">
        <v>33.299999999999997</v>
      </c>
      <c r="AI17" s="6">
        <f t="shared" si="19"/>
        <v>1.1512660860355366</v>
      </c>
      <c r="AJ17" s="6">
        <f t="shared" si="4"/>
        <v>3.4572555136202304E-2</v>
      </c>
    </row>
    <row r="18" spans="1:36" x14ac:dyDescent="0.2">
      <c r="A18" t="s">
        <v>37</v>
      </c>
      <c r="B18">
        <v>2016</v>
      </c>
      <c r="C18">
        <f t="shared" si="0"/>
        <v>9</v>
      </c>
      <c r="D18">
        <v>2</v>
      </c>
      <c r="E18">
        <v>3</v>
      </c>
      <c r="F18" t="s">
        <v>39</v>
      </c>
      <c r="G18">
        <v>100</v>
      </c>
      <c r="H18">
        <v>30</v>
      </c>
      <c r="I18">
        <f t="shared" si="15"/>
        <v>0.3</v>
      </c>
      <c r="K18">
        <v>30</v>
      </c>
      <c r="L18" s="1">
        <v>12</v>
      </c>
      <c r="M18">
        <v>5.13</v>
      </c>
      <c r="N18">
        <v>49.95</v>
      </c>
      <c r="O18">
        <f t="shared" si="5"/>
        <v>44.82</v>
      </c>
      <c r="P18">
        <v>37.15</v>
      </c>
      <c r="Q18">
        <f t="shared" si="6"/>
        <v>32.019999999999996</v>
      </c>
      <c r="R18">
        <f t="shared" si="7"/>
        <v>12.800000000000004</v>
      </c>
      <c r="S18">
        <f t="shared" si="8"/>
        <v>28.558679161088808</v>
      </c>
      <c r="T18">
        <v>12</v>
      </c>
      <c r="U18">
        <v>29.442</v>
      </c>
      <c r="V18">
        <v>33.572000000000003</v>
      </c>
      <c r="W18">
        <f t="shared" si="9"/>
        <v>4.1300000000000026</v>
      </c>
      <c r="X18">
        <f t="shared" si="10"/>
        <v>4130.0000000000027</v>
      </c>
      <c r="Y18">
        <v>33.392000000000003</v>
      </c>
      <c r="Z18">
        <f t="shared" si="11"/>
        <v>3.9500000000000028</v>
      </c>
      <c r="AA18">
        <f t="shared" si="12"/>
        <v>3950.0000000000027</v>
      </c>
      <c r="AB18">
        <f t="shared" si="13"/>
        <v>180</v>
      </c>
      <c r="AC18">
        <v>0.70440106584149909</v>
      </c>
      <c r="AD18">
        <f t="shared" si="16"/>
        <v>4.3583535108958804</v>
      </c>
      <c r="AE18">
        <f t="shared" si="14"/>
        <v>3.9690072639225171</v>
      </c>
      <c r="AF18">
        <f t="shared" si="17"/>
        <v>2.7957729470396733E-2</v>
      </c>
      <c r="AG18" s="6">
        <f t="shared" si="18"/>
        <v>0.93099239136421108</v>
      </c>
      <c r="AH18" s="6">
        <v>33.299999999999997</v>
      </c>
      <c r="AI18" s="6">
        <f t="shared" si="19"/>
        <v>0.93099239136421108</v>
      </c>
      <c r="AJ18" s="6">
        <f t="shared" si="4"/>
        <v>2.7957729470396733E-2</v>
      </c>
    </row>
    <row r="19" spans="1:36" x14ac:dyDescent="0.2">
      <c r="A19" t="s">
        <v>37</v>
      </c>
      <c r="B19">
        <v>2016</v>
      </c>
      <c r="C19">
        <f t="shared" si="0"/>
        <v>9</v>
      </c>
      <c r="D19">
        <v>2</v>
      </c>
      <c r="E19">
        <v>3</v>
      </c>
      <c r="F19" t="s">
        <v>40</v>
      </c>
      <c r="G19">
        <v>100</v>
      </c>
      <c r="H19">
        <v>30</v>
      </c>
      <c r="I19">
        <f t="shared" si="15"/>
        <v>0.3</v>
      </c>
      <c r="K19">
        <v>30</v>
      </c>
      <c r="L19" s="1">
        <v>11</v>
      </c>
      <c r="M19">
        <v>5.14</v>
      </c>
      <c r="N19">
        <v>41.1</v>
      </c>
      <c r="O19">
        <f t="shared" si="5"/>
        <v>35.96</v>
      </c>
      <c r="P19">
        <v>23.24</v>
      </c>
      <c r="Q19">
        <f t="shared" si="6"/>
        <v>18.099999999999998</v>
      </c>
      <c r="R19">
        <f t="shared" si="7"/>
        <v>17.860000000000003</v>
      </c>
      <c r="S19">
        <f t="shared" si="8"/>
        <v>49.666295884315915</v>
      </c>
      <c r="T19">
        <v>11</v>
      </c>
      <c r="U19">
        <v>27.460999999999999</v>
      </c>
      <c r="V19">
        <v>31.6</v>
      </c>
      <c r="W19">
        <f t="shared" si="9"/>
        <v>4.1390000000000029</v>
      </c>
      <c r="X19">
        <f t="shared" si="10"/>
        <v>4139.0000000000027</v>
      </c>
      <c r="Y19">
        <v>31.085999999999999</v>
      </c>
      <c r="Z19">
        <f t="shared" si="11"/>
        <v>3.625</v>
      </c>
      <c r="AA19">
        <f t="shared" si="12"/>
        <v>3625</v>
      </c>
      <c r="AB19">
        <f t="shared" si="13"/>
        <v>514.00000000000273</v>
      </c>
      <c r="AC19">
        <v>0.78573459370935805</v>
      </c>
      <c r="AD19">
        <f t="shared" si="16"/>
        <v>12.418458564870798</v>
      </c>
      <c r="AE19">
        <f t="shared" si="14"/>
        <v>6.8706450833534873</v>
      </c>
      <c r="AF19">
        <f t="shared" si="17"/>
        <v>5.3985035230899502E-2</v>
      </c>
      <c r="AG19" s="6">
        <f t="shared" si="18"/>
        <v>1.7977016731889532</v>
      </c>
      <c r="AH19" s="6">
        <v>33.299999999999997</v>
      </c>
      <c r="AI19" s="6">
        <f t="shared" si="19"/>
        <v>1.7977016731889532</v>
      </c>
      <c r="AJ19" s="6">
        <f>AI19/AH19</f>
        <v>5.3985035230899502E-2</v>
      </c>
    </row>
    <row r="20" spans="1:36" x14ac:dyDescent="0.2">
      <c r="A20" t="s">
        <v>37</v>
      </c>
      <c r="B20">
        <v>2022</v>
      </c>
      <c r="C20">
        <f t="shared" si="0"/>
        <v>3</v>
      </c>
      <c r="D20">
        <v>3</v>
      </c>
      <c r="E20">
        <v>1</v>
      </c>
      <c r="F20" s="3" t="s">
        <v>41</v>
      </c>
      <c r="G20">
        <v>100</v>
      </c>
      <c r="H20">
        <v>40</v>
      </c>
      <c r="I20">
        <f t="shared" si="15"/>
        <v>0.4</v>
      </c>
      <c r="K20">
        <v>30</v>
      </c>
      <c r="L20" s="1">
        <v>16</v>
      </c>
      <c r="M20">
        <v>5.09</v>
      </c>
      <c r="N20">
        <v>50.03</v>
      </c>
      <c r="O20">
        <f t="shared" si="5"/>
        <v>44.94</v>
      </c>
      <c r="P20">
        <v>36.53</v>
      </c>
      <c r="Q20">
        <f t="shared" si="6"/>
        <v>31.44</v>
      </c>
      <c r="R20">
        <f t="shared" si="7"/>
        <v>13.499999999999996</v>
      </c>
      <c r="S20">
        <f t="shared" si="8"/>
        <v>30.040053404539378</v>
      </c>
      <c r="T20">
        <v>16</v>
      </c>
      <c r="U20">
        <v>28.471</v>
      </c>
      <c r="V20">
        <v>31.635000000000002</v>
      </c>
      <c r="W20">
        <f t="shared" si="9"/>
        <v>3.1640000000000015</v>
      </c>
      <c r="X20">
        <f t="shared" si="10"/>
        <v>3164.0000000000014</v>
      </c>
      <c r="Y20">
        <v>31.495000000000001</v>
      </c>
      <c r="Z20">
        <f t="shared" si="11"/>
        <v>3.0240000000000009</v>
      </c>
      <c r="AA20">
        <f t="shared" si="12"/>
        <v>3024.0000000000009</v>
      </c>
      <c r="AB20">
        <f t="shared" si="13"/>
        <v>140.00000000000045</v>
      </c>
      <c r="AC20">
        <v>0.9189406814809622</v>
      </c>
      <c r="AD20">
        <f t="shared" si="16"/>
        <v>4.4247787610619591</v>
      </c>
      <c r="AE20">
        <f t="shared" si="14"/>
        <v>3.992920353982305</v>
      </c>
      <c r="AF20">
        <f t="shared" si="17"/>
        <v>3.6692569511877042E-2</v>
      </c>
      <c r="AG20" s="6">
        <f t="shared" si="18"/>
        <v>1.2218625647455055</v>
      </c>
      <c r="AH20" s="6">
        <v>33.299999999999997</v>
      </c>
      <c r="AI20" s="6">
        <f t="shared" si="19"/>
        <v>1.2218625647455055</v>
      </c>
      <c r="AJ20" s="6">
        <f t="shared" ref="AJ20:AJ28" si="20">AI20/AH20</f>
        <v>3.6692569511877042E-2</v>
      </c>
    </row>
    <row r="21" spans="1:36" x14ac:dyDescent="0.2">
      <c r="A21" t="s">
        <v>37</v>
      </c>
      <c r="B21">
        <v>2022</v>
      </c>
      <c r="C21">
        <f t="shared" si="0"/>
        <v>3</v>
      </c>
      <c r="D21">
        <v>3</v>
      </c>
      <c r="E21">
        <v>1</v>
      </c>
      <c r="F21" t="s">
        <v>39</v>
      </c>
      <c r="L21" s="1"/>
      <c r="AG21" s="6"/>
      <c r="AH21" s="6"/>
      <c r="AI21" s="6"/>
      <c r="AJ21" s="6"/>
    </row>
    <row r="22" spans="1:36" x14ac:dyDescent="0.2">
      <c r="A22" t="s">
        <v>37</v>
      </c>
      <c r="B22">
        <v>2022</v>
      </c>
      <c r="C22">
        <f t="shared" si="0"/>
        <v>3</v>
      </c>
      <c r="D22">
        <v>3</v>
      </c>
      <c r="E22">
        <v>1</v>
      </c>
      <c r="F22" t="s">
        <v>40</v>
      </c>
      <c r="G22">
        <v>100</v>
      </c>
      <c r="H22">
        <v>40</v>
      </c>
      <c r="I22">
        <f t="shared" ref="I22:I28" si="21">H22/G22</f>
        <v>0.4</v>
      </c>
      <c r="K22">
        <v>30</v>
      </c>
      <c r="L22" s="1">
        <v>20</v>
      </c>
      <c r="M22">
        <v>5.0999999999999996</v>
      </c>
      <c r="N22">
        <v>50.57</v>
      </c>
      <c r="O22">
        <f t="shared" ref="O22:O28" si="22">N22-M22</f>
        <v>45.47</v>
      </c>
      <c r="P22">
        <v>33.85</v>
      </c>
      <c r="Q22">
        <f t="shared" ref="Q22:Q28" si="23">P22-M22</f>
        <v>28.75</v>
      </c>
      <c r="R22">
        <f t="shared" ref="R22:R28" si="24">O22-Q22</f>
        <v>16.72</v>
      </c>
      <c r="S22">
        <f t="shared" ref="S22:S28" si="25">((O22-Q22)/O22)*100</f>
        <v>36.771497690785132</v>
      </c>
      <c r="T22">
        <v>20</v>
      </c>
      <c r="U22">
        <v>28.547000000000001</v>
      </c>
      <c r="V22">
        <v>32.195</v>
      </c>
      <c r="W22">
        <f t="shared" ref="W22:W28" si="26">V22-U22</f>
        <v>3.6479999999999997</v>
      </c>
      <c r="X22">
        <f t="shared" ref="X22:X28" si="27">W22*1000</f>
        <v>3647.9999999999995</v>
      </c>
      <c r="Y22">
        <v>31.957000000000001</v>
      </c>
      <c r="Z22">
        <f t="shared" ref="Z22:Z28" si="28">Y22-U22</f>
        <v>3.41</v>
      </c>
      <c r="AA22">
        <f t="shared" ref="AA22:AA28" si="29">Z22*1000</f>
        <v>3410</v>
      </c>
      <c r="AB22">
        <f t="shared" ref="AB22:AB28" si="30">X22-AA22</f>
        <v>237.99999999999955</v>
      </c>
      <c r="AC22">
        <v>0.78573459370935805</v>
      </c>
      <c r="AD22">
        <f t="shared" ref="AD22:AD28" si="31">((X22-AA22)/X22)*100</f>
        <v>6.5241228070175321</v>
      </c>
      <c r="AE22">
        <f t="shared" si="14"/>
        <v>4.7486842105263118</v>
      </c>
      <c r="AF22">
        <f t="shared" ref="AF22:AF53" si="32">AC22*(AE22/100)</f>
        <v>3.7312054588119356E-2</v>
      </c>
      <c r="AG22" s="6">
        <f t="shared" ref="AG22:AG28" si="33">AF22*AH22</f>
        <v>1.2424914177843744</v>
      </c>
      <c r="AH22" s="6">
        <v>33.299999999999997</v>
      </c>
      <c r="AI22" s="6">
        <f t="shared" ref="AI22:AI28" si="34">AG22</f>
        <v>1.2424914177843744</v>
      </c>
      <c r="AJ22" s="6">
        <f t="shared" si="20"/>
        <v>3.7312054588119356E-2</v>
      </c>
    </row>
    <row r="23" spans="1:36" x14ac:dyDescent="0.2">
      <c r="A23" t="s">
        <v>37</v>
      </c>
      <c r="B23">
        <v>2022</v>
      </c>
      <c r="C23">
        <f t="shared" si="0"/>
        <v>3</v>
      </c>
      <c r="D23">
        <v>3</v>
      </c>
      <c r="E23">
        <v>2</v>
      </c>
      <c r="F23" s="3" t="s">
        <v>41</v>
      </c>
      <c r="G23">
        <v>100</v>
      </c>
      <c r="H23">
        <v>40</v>
      </c>
      <c r="I23">
        <f t="shared" si="21"/>
        <v>0.4</v>
      </c>
      <c r="K23">
        <v>55.4</v>
      </c>
      <c r="L23" s="1">
        <v>32</v>
      </c>
      <c r="M23">
        <v>5</v>
      </c>
      <c r="N23">
        <v>93.98</v>
      </c>
      <c r="O23">
        <f t="shared" si="22"/>
        <v>88.98</v>
      </c>
      <c r="P23">
        <v>67.13</v>
      </c>
      <c r="Q23">
        <f t="shared" si="23"/>
        <v>62.129999999999995</v>
      </c>
      <c r="R23">
        <f t="shared" si="24"/>
        <v>26.850000000000009</v>
      </c>
      <c r="S23">
        <f t="shared" si="25"/>
        <v>30.175320296695894</v>
      </c>
      <c r="T23">
        <v>32</v>
      </c>
      <c r="U23">
        <v>27.739000000000001</v>
      </c>
      <c r="V23">
        <v>31.704000000000001</v>
      </c>
      <c r="W23">
        <f t="shared" si="26"/>
        <v>3.9649999999999999</v>
      </c>
      <c r="X23">
        <f t="shared" si="27"/>
        <v>3965</v>
      </c>
      <c r="Y23">
        <v>31.52</v>
      </c>
      <c r="Z23">
        <f t="shared" si="28"/>
        <v>3.7809999999999988</v>
      </c>
      <c r="AA23">
        <f t="shared" si="29"/>
        <v>3780.9999999999986</v>
      </c>
      <c r="AB23">
        <f t="shared" si="30"/>
        <v>184.00000000000136</v>
      </c>
      <c r="AC23">
        <v>0.9189406814809622</v>
      </c>
      <c r="AD23">
        <f t="shared" si="31"/>
        <v>4.6406052963430362</v>
      </c>
      <c r="AE23">
        <f t="shared" si="14"/>
        <v>4.0706179066834931</v>
      </c>
      <c r="AF23">
        <f t="shared" si="32"/>
        <v>3.7406563932163364E-2</v>
      </c>
      <c r="AG23" s="6">
        <f t="shared" si="33"/>
        <v>1.24563857894104</v>
      </c>
      <c r="AH23" s="6">
        <v>33.299999999999997</v>
      </c>
      <c r="AI23" s="6">
        <f t="shared" si="34"/>
        <v>1.24563857894104</v>
      </c>
      <c r="AJ23" s="6">
        <f t="shared" si="20"/>
        <v>3.7406563932163364E-2</v>
      </c>
    </row>
    <row r="24" spans="1:36" x14ac:dyDescent="0.2">
      <c r="A24" t="s">
        <v>37</v>
      </c>
      <c r="B24">
        <v>2022</v>
      </c>
      <c r="C24">
        <f t="shared" si="0"/>
        <v>3</v>
      </c>
      <c r="D24">
        <v>3</v>
      </c>
      <c r="E24">
        <v>2</v>
      </c>
      <c r="F24" t="s">
        <v>39</v>
      </c>
      <c r="G24">
        <v>100</v>
      </c>
      <c r="H24">
        <v>40</v>
      </c>
      <c r="I24">
        <f t="shared" si="21"/>
        <v>0.4</v>
      </c>
      <c r="K24">
        <v>30</v>
      </c>
      <c r="L24" s="1">
        <v>13</v>
      </c>
      <c r="M24">
        <v>5.14</v>
      </c>
      <c r="N24">
        <v>43.77</v>
      </c>
      <c r="O24">
        <f t="shared" si="22"/>
        <v>38.630000000000003</v>
      </c>
      <c r="P24">
        <v>26.79</v>
      </c>
      <c r="Q24">
        <f t="shared" si="23"/>
        <v>21.65</v>
      </c>
      <c r="R24">
        <f t="shared" si="24"/>
        <v>16.980000000000004</v>
      </c>
      <c r="S24">
        <f t="shared" si="25"/>
        <v>43.955475019414969</v>
      </c>
      <c r="T24">
        <v>13</v>
      </c>
      <c r="U24">
        <v>22.212</v>
      </c>
      <c r="V24">
        <v>25.902999999999999</v>
      </c>
      <c r="W24">
        <f t="shared" si="26"/>
        <v>3.6909999999999989</v>
      </c>
      <c r="X24">
        <f t="shared" si="27"/>
        <v>3690.9999999999991</v>
      </c>
      <c r="Y24">
        <v>25.577999999999999</v>
      </c>
      <c r="Z24">
        <f t="shared" si="28"/>
        <v>3.3659999999999997</v>
      </c>
      <c r="AA24">
        <f t="shared" si="29"/>
        <v>3365.9999999999995</v>
      </c>
      <c r="AB24">
        <f t="shared" si="30"/>
        <v>324.99999999999955</v>
      </c>
      <c r="AC24">
        <v>0.70440106584149909</v>
      </c>
      <c r="AD24">
        <f t="shared" si="31"/>
        <v>8.8052018423191445</v>
      </c>
      <c r="AE24">
        <f t="shared" si="14"/>
        <v>5.5698726632348912</v>
      </c>
      <c r="AF24">
        <f t="shared" si="32"/>
        <v>3.9234242405840863E-2</v>
      </c>
      <c r="AG24" s="6">
        <f t="shared" si="33"/>
        <v>1.3065002721145007</v>
      </c>
      <c r="AH24" s="6">
        <v>33.299999999999997</v>
      </c>
      <c r="AI24" s="6">
        <f t="shared" si="34"/>
        <v>1.3065002721145007</v>
      </c>
      <c r="AJ24" s="6">
        <f t="shared" si="20"/>
        <v>3.9234242405840863E-2</v>
      </c>
    </row>
    <row r="25" spans="1:36" x14ac:dyDescent="0.2">
      <c r="A25" t="s">
        <v>37</v>
      </c>
      <c r="B25">
        <v>2022</v>
      </c>
      <c r="C25">
        <f t="shared" si="0"/>
        <v>3</v>
      </c>
      <c r="D25">
        <v>3</v>
      </c>
      <c r="E25">
        <v>2</v>
      </c>
      <c r="F25" t="s">
        <v>40</v>
      </c>
      <c r="G25">
        <v>100</v>
      </c>
      <c r="H25">
        <v>40</v>
      </c>
      <c r="I25">
        <f t="shared" si="21"/>
        <v>0.4</v>
      </c>
      <c r="K25">
        <v>55.4</v>
      </c>
      <c r="L25" s="1">
        <v>29</v>
      </c>
      <c r="M25">
        <v>5.03</v>
      </c>
      <c r="N25">
        <v>96.59</v>
      </c>
      <c r="O25">
        <f t="shared" si="22"/>
        <v>91.56</v>
      </c>
      <c r="P25">
        <v>59.7</v>
      </c>
      <c r="Q25">
        <f t="shared" si="23"/>
        <v>54.67</v>
      </c>
      <c r="R25">
        <f t="shared" si="24"/>
        <v>36.89</v>
      </c>
      <c r="S25">
        <f t="shared" si="25"/>
        <v>40.290519877675841</v>
      </c>
      <c r="T25">
        <v>29</v>
      </c>
      <c r="U25">
        <v>28.353000000000002</v>
      </c>
      <c r="V25">
        <v>32.344000000000001</v>
      </c>
      <c r="W25">
        <f t="shared" si="26"/>
        <v>3.9909999999999997</v>
      </c>
      <c r="X25">
        <f t="shared" si="27"/>
        <v>3990.9999999999995</v>
      </c>
      <c r="Y25">
        <v>31.986000000000001</v>
      </c>
      <c r="Z25">
        <f t="shared" si="28"/>
        <v>3.6329999999999991</v>
      </c>
      <c r="AA25">
        <f t="shared" si="29"/>
        <v>3632.9999999999991</v>
      </c>
      <c r="AB25">
        <f t="shared" si="30"/>
        <v>358.00000000000045</v>
      </c>
      <c r="AC25">
        <v>0.78573459370935805</v>
      </c>
      <c r="AD25">
        <f t="shared" si="31"/>
        <v>8.9701829115510012</v>
      </c>
      <c r="AE25">
        <f t="shared" si="14"/>
        <v>5.6292658481583597</v>
      </c>
      <c r="AF25">
        <f t="shared" si="32"/>
        <v>4.4231089140846731E-2</v>
      </c>
      <c r="AG25" s="6">
        <f t="shared" si="33"/>
        <v>1.4728952683901961</v>
      </c>
      <c r="AH25" s="6">
        <v>33.299999999999997</v>
      </c>
      <c r="AI25" s="6">
        <f t="shared" si="34"/>
        <v>1.4728952683901961</v>
      </c>
      <c r="AJ25" s="6">
        <f t="shared" si="20"/>
        <v>4.4231089140846731E-2</v>
      </c>
    </row>
    <row r="26" spans="1:36" x14ac:dyDescent="0.2">
      <c r="A26" t="s">
        <v>37</v>
      </c>
      <c r="B26">
        <v>2022</v>
      </c>
      <c r="C26">
        <f t="shared" si="0"/>
        <v>3</v>
      </c>
      <c r="D26">
        <v>3</v>
      </c>
      <c r="E26">
        <v>3</v>
      </c>
      <c r="F26" s="3" t="s">
        <v>41</v>
      </c>
      <c r="G26">
        <v>100</v>
      </c>
      <c r="H26">
        <v>40</v>
      </c>
      <c r="I26">
        <f t="shared" si="21"/>
        <v>0.4</v>
      </c>
      <c r="K26">
        <v>30</v>
      </c>
      <c r="L26" s="1">
        <v>22</v>
      </c>
      <c r="M26">
        <v>5.04</v>
      </c>
      <c r="N26">
        <v>46.38</v>
      </c>
      <c r="O26">
        <f t="shared" si="22"/>
        <v>41.34</v>
      </c>
      <c r="P26">
        <v>31.76</v>
      </c>
      <c r="Q26">
        <f t="shared" si="23"/>
        <v>26.720000000000002</v>
      </c>
      <c r="R26">
        <f t="shared" si="24"/>
        <v>14.620000000000001</v>
      </c>
      <c r="S26">
        <f t="shared" si="25"/>
        <v>35.365263667150458</v>
      </c>
      <c r="T26">
        <v>22</v>
      </c>
      <c r="U26">
        <v>28.484999999999999</v>
      </c>
      <c r="V26">
        <v>31.972999999999999</v>
      </c>
      <c r="W26">
        <f t="shared" si="26"/>
        <v>3.4879999999999995</v>
      </c>
      <c r="X26">
        <f t="shared" si="27"/>
        <v>3487.9999999999995</v>
      </c>
      <c r="Y26">
        <v>31.742000000000001</v>
      </c>
      <c r="Z26">
        <f t="shared" si="28"/>
        <v>3.2570000000000014</v>
      </c>
      <c r="AA26">
        <f t="shared" si="29"/>
        <v>3257.0000000000014</v>
      </c>
      <c r="AB26">
        <f t="shared" si="30"/>
        <v>230.99999999999818</v>
      </c>
      <c r="AC26">
        <v>0.9189406814809622</v>
      </c>
      <c r="AD26">
        <f t="shared" si="31"/>
        <v>6.6227064220182967</v>
      </c>
      <c r="AE26">
        <f t="shared" si="14"/>
        <v>4.784174311926586</v>
      </c>
      <c r="AF26">
        <f t="shared" si="32"/>
        <v>4.39637240252553E-2</v>
      </c>
      <c r="AG26" s="6">
        <f t="shared" si="33"/>
        <v>1.4639920100410013</v>
      </c>
      <c r="AH26" s="6">
        <v>33.299999999999997</v>
      </c>
      <c r="AI26" s="6">
        <f t="shared" si="34"/>
        <v>1.4639920100410013</v>
      </c>
      <c r="AJ26" s="6">
        <f t="shared" si="20"/>
        <v>4.39637240252553E-2</v>
      </c>
    </row>
    <row r="27" spans="1:36" x14ac:dyDescent="0.2">
      <c r="A27" t="s">
        <v>37</v>
      </c>
      <c r="B27">
        <v>2022</v>
      </c>
      <c r="C27">
        <f t="shared" si="0"/>
        <v>3</v>
      </c>
      <c r="D27">
        <v>3</v>
      </c>
      <c r="E27">
        <v>3</v>
      </c>
      <c r="F27" t="s">
        <v>39</v>
      </c>
      <c r="G27">
        <v>100</v>
      </c>
      <c r="H27">
        <v>40</v>
      </c>
      <c r="I27">
        <f t="shared" si="21"/>
        <v>0.4</v>
      </c>
      <c r="K27">
        <v>30</v>
      </c>
      <c r="L27" s="1">
        <v>19</v>
      </c>
      <c r="M27">
        <v>5.08</v>
      </c>
      <c r="N27">
        <v>43.68</v>
      </c>
      <c r="O27">
        <f t="shared" si="22"/>
        <v>38.6</v>
      </c>
      <c r="P27">
        <v>29.75</v>
      </c>
      <c r="Q27">
        <f t="shared" si="23"/>
        <v>24.67</v>
      </c>
      <c r="R27">
        <f t="shared" si="24"/>
        <v>13.93</v>
      </c>
      <c r="S27">
        <f t="shared" si="25"/>
        <v>36.088082901554401</v>
      </c>
      <c r="T27">
        <v>19</v>
      </c>
      <c r="U27">
        <v>28.951000000000001</v>
      </c>
      <c r="V27">
        <v>32.335999999999999</v>
      </c>
      <c r="W27">
        <f t="shared" si="26"/>
        <v>3.384999999999998</v>
      </c>
      <c r="X27">
        <f t="shared" si="27"/>
        <v>3384.9999999999982</v>
      </c>
      <c r="Y27">
        <v>32.119</v>
      </c>
      <c r="Z27">
        <f t="shared" si="28"/>
        <v>3.1679999999999993</v>
      </c>
      <c r="AA27">
        <f t="shared" si="29"/>
        <v>3167.9999999999991</v>
      </c>
      <c r="AB27">
        <f t="shared" si="30"/>
        <v>216.99999999999909</v>
      </c>
      <c r="AC27">
        <v>0.70440106584149909</v>
      </c>
      <c r="AD27">
        <f t="shared" si="31"/>
        <v>6.4106351550959877</v>
      </c>
      <c r="AE27">
        <f t="shared" si="14"/>
        <v>4.7078286558345557</v>
      </c>
      <c r="AF27">
        <f t="shared" si="32"/>
        <v>3.3161995229690128E-2</v>
      </c>
      <c r="AG27" s="6">
        <f t="shared" si="33"/>
        <v>1.1042944411486812</v>
      </c>
      <c r="AH27" s="6">
        <v>33.299999999999997</v>
      </c>
      <c r="AI27" s="6">
        <f t="shared" si="34"/>
        <v>1.1042944411486812</v>
      </c>
      <c r="AJ27" s="6">
        <f t="shared" si="20"/>
        <v>3.3161995229690128E-2</v>
      </c>
    </row>
    <row r="28" spans="1:36" x14ac:dyDescent="0.2">
      <c r="A28" t="s">
        <v>37</v>
      </c>
      <c r="B28">
        <v>2022</v>
      </c>
      <c r="C28">
        <f t="shared" si="0"/>
        <v>3</v>
      </c>
      <c r="D28">
        <v>3</v>
      </c>
      <c r="E28">
        <v>3</v>
      </c>
      <c r="F28" t="s">
        <v>40</v>
      </c>
      <c r="G28">
        <v>100</v>
      </c>
      <c r="H28">
        <v>40</v>
      </c>
      <c r="I28">
        <f t="shared" si="21"/>
        <v>0.4</v>
      </c>
      <c r="K28">
        <v>30</v>
      </c>
      <c r="L28" s="1">
        <v>14</v>
      </c>
      <c r="M28">
        <v>5.16</v>
      </c>
      <c r="N28">
        <v>43.55</v>
      </c>
      <c r="O28">
        <f t="shared" si="22"/>
        <v>38.39</v>
      </c>
      <c r="P28">
        <v>27.58</v>
      </c>
      <c r="Q28">
        <f t="shared" si="23"/>
        <v>22.419999999999998</v>
      </c>
      <c r="R28">
        <f t="shared" si="24"/>
        <v>15.970000000000002</v>
      </c>
      <c r="S28">
        <f t="shared" si="25"/>
        <v>41.599374837197196</v>
      </c>
      <c r="T28">
        <v>14</v>
      </c>
      <c r="U28">
        <v>27.82</v>
      </c>
      <c r="V28">
        <v>31.556000000000001</v>
      </c>
      <c r="W28">
        <f t="shared" si="26"/>
        <v>3.7360000000000007</v>
      </c>
      <c r="X28">
        <f t="shared" si="27"/>
        <v>3736.0000000000005</v>
      </c>
      <c r="Y28">
        <v>31.238</v>
      </c>
      <c r="Z28">
        <f t="shared" si="28"/>
        <v>3.4179999999999993</v>
      </c>
      <c r="AA28">
        <f t="shared" si="29"/>
        <v>3417.9999999999991</v>
      </c>
      <c r="AB28">
        <f t="shared" si="30"/>
        <v>318.00000000000136</v>
      </c>
      <c r="AC28">
        <v>0.78573459370935805</v>
      </c>
      <c r="AD28">
        <f t="shared" si="31"/>
        <v>8.5117773019272303</v>
      </c>
      <c r="AE28">
        <f t="shared" si="14"/>
        <v>5.4642398286938025</v>
      </c>
      <c r="AF28">
        <f t="shared" si="32"/>
        <v>4.2934422617292169E-2</v>
      </c>
      <c r="AG28" s="6">
        <f t="shared" si="33"/>
        <v>1.4297162731558291</v>
      </c>
      <c r="AH28" s="6">
        <v>33.299999999999997</v>
      </c>
      <c r="AI28" s="6">
        <f t="shared" si="34"/>
        <v>1.4297162731558291</v>
      </c>
      <c r="AJ28" s="6">
        <f t="shared" si="20"/>
        <v>4.2934422617292169E-2</v>
      </c>
    </row>
    <row r="29" spans="1:36" x14ac:dyDescent="0.2">
      <c r="A29" t="s">
        <v>43</v>
      </c>
      <c r="B29">
        <v>2022</v>
      </c>
      <c r="C29">
        <f>2025-B29</f>
        <v>3</v>
      </c>
      <c r="D29">
        <v>1</v>
      </c>
      <c r="E29">
        <v>1</v>
      </c>
      <c r="F29" t="s">
        <v>38</v>
      </c>
      <c r="G29">
        <v>50</v>
      </c>
      <c r="H29">
        <v>15</v>
      </c>
      <c r="I29">
        <v>0.3</v>
      </c>
      <c r="J29">
        <v>4</v>
      </c>
      <c r="K29">
        <v>0</v>
      </c>
      <c r="L29">
        <v>7.5</v>
      </c>
      <c r="M29">
        <v>5.15</v>
      </c>
      <c r="N29">
        <v>45.275999999999996</v>
      </c>
      <c r="O29">
        <v>40.125999999999998</v>
      </c>
      <c r="P29">
        <v>37.389499999999998</v>
      </c>
      <c r="Q29">
        <v>32.2395</v>
      </c>
      <c r="R29">
        <v>7.8864999999999981</v>
      </c>
      <c r="S29">
        <v>19.63333607138987</v>
      </c>
      <c r="T29">
        <v>10.5</v>
      </c>
      <c r="U29">
        <v>29.500549999999997</v>
      </c>
      <c r="V29">
        <v>34.151899999999998</v>
      </c>
      <c r="W29">
        <v>4.651349999999999</v>
      </c>
      <c r="X29">
        <v>4651.3499999999985</v>
      </c>
      <c r="Y29">
        <v>33.929550000000006</v>
      </c>
      <c r="Z29">
        <v>4.4290000000000038</v>
      </c>
      <c r="AA29">
        <v>4429.0000000000036</v>
      </c>
      <c r="AB29">
        <v>222.34999999999491</v>
      </c>
      <c r="AC29">
        <v>1.5449435584168767</v>
      </c>
      <c r="AD29">
        <v>4.7755451634094346</v>
      </c>
      <c r="AE29">
        <f>0.36*AD29+2.4</f>
        <v>4.1191962588273965</v>
      </c>
      <c r="AF29">
        <f>AC29*(AE29/100)</f>
        <v>6.3639257259302834E-2</v>
      </c>
      <c r="AG29" s="2">
        <f t="shared" ref="AG29:AG60" si="35">AF29*G29</f>
        <v>3.1819628629651415</v>
      </c>
      <c r="AH29">
        <v>25</v>
      </c>
      <c r="AI29">
        <f>AF29-(AI30+AI31)</f>
        <v>2.2226731886869355E-4</v>
      </c>
      <c r="AJ29">
        <f>AI29/AH29</f>
        <v>8.8906927547477429E-6</v>
      </c>
    </row>
    <row r="30" spans="1:36" x14ac:dyDescent="0.2">
      <c r="A30" t="s">
        <v>43</v>
      </c>
      <c r="B30">
        <v>2022</v>
      </c>
      <c r="C30">
        <f t="shared" ref="C30:C82" si="36">2025-B30</f>
        <v>3</v>
      </c>
      <c r="D30">
        <v>1</v>
      </c>
      <c r="E30">
        <v>1</v>
      </c>
      <c r="F30" t="s">
        <v>39</v>
      </c>
      <c r="G30">
        <v>25</v>
      </c>
      <c r="H30">
        <v>10</v>
      </c>
      <c r="I30">
        <v>0.4</v>
      </c>
      <c r="J30">
        <v>4</v>
      </c>
      <c r="K30">
        <v>0</v>
      </c>
      <c r="L30">
        <v>9.5</v>
      </c>
      <c r="M30">
        <v>5.14</v>
      </c>
      <c r="N30">
        <v>44.019500000000001</v>
      </c>
      <c r="O30">
        <v>38.8795</v>
      </c>
      <c r="P30">
        <v>30.148499999999999</v>
      </c>
      <c r="Q30">
        <v>25.008499999999998</v>
      </c>
      <c r="R30">
        <v>13.871000000000002</v>
      </c>
      <c r="S30">
        <v>35.819449819457148</v>
      </c>
      <c r="T30">
        <v>11.5</v>
      </c>
      <c r="U30">
        <v>25.383600000000001</v>
      </c>
      <c r="V30">
        <v>29.0246</v>
      </c>
      <c r="W30">
        <v>3.641</v>
      </c>
      <c r="X30">
        <v>3641</v>
      </c>
      <c r="Y30">
        <v>28.860100000000003</v>
      </c>
      <c r="Z30">
        <v>3.4765000000000015</v>
      </c>
      <c r="AA30">
        <v>3476.5000000000014</v>
      </c>
      <c r="AB30">
        <v>164.49999999999864</v>
      </c>
      <c r="AC30">
        <v>1.5751266302286586</v>
      </c>
      <c r="AD30">
        <v>4.517088468279038</v>
      </c>
      <c r="AE30">
        <f t="shared" ref="AE30:AE46" si="37">0.36*AD30+2.4</f>
        <v>4.0261518485804535</v>
      </c>
      <c r="AF30">
        <f t="shared" si="32"/>
        <v>6.341698994043414E-2</v>
      </c>
      <c r="AG30" s="2">
        <f t="shared" si="35"/>
        <v>1.5854247485108535</v>
      </c>
      <c r="AH30">
        <v>15</v>
      </c>
      <c r="AI30">
        <f>AF30-AF31</f>
        <v>3.0022564570968274E-3</v>
      </c>
      <c r="AJ30">
        <f t="shared" ref="AJ30:AJ46" si="38">AI30/AH30</f>
        <v>2.0015043047312182E-4</v>
      </c>
    </row>
    <row r="31" spans="1:36" x14ac:dyDescent="0.2">
      <c r="A31" t="s">
        <v>43</v>
      </c>
      <c r="B31">
        <v>2022</v>
      </c>
      <c r="C31">
        <f t="shared" si="36"/>
        <v>3</v>
      </c>
      <c r="D31">
        <v>1</v>
      </c>
      <c r="E31">
        <v>1</v>
      </c>
      <c r="F31" t="s">
        <v>40</v>
      </c>
      <c r="G31">
        <v>10</v>
      </c>
      <c r="H31">
        <v>8</v>
      </c>
      <c r="I31">
        <v>0.8</v>
      </c>
      <c r="J31">
        <v>4</v>
      </c>
      <c r="K31">
        <v>0</v>
      </c>
      <c r="L31">
        <v>8194.5</v>
      </c>
      <c r="M31">
        <v>5.1099999999999994</v>
      </c>
      <c r="N31">
        <v>38.926500000000004</v>
      </c>
      <c r="O31">
        <v>33.816499999999998</v>
      </c>
      <c r="P31">
        <v>31.2925</v>
      </c>
      <c r="Q31">
        <v>26.182500000000001</v>
      </c>
      <c r="R31">
        <v>7.6340000000000003</v>
      </c>
      <c r="S31">
        <v>22.61742487114789</v>
      </c>
      <c r="T31">
        <v>9.5</v>
      </c>
      <c r="U31">
        <v>24.983249999999998</v>
      </c>
      <c r="V31">
        <v>28.529399999999999</v>
      </c>
      <c r="W31">
        <v>3.546149999999999</v>
      </c>
      <c r="X31">
        <v>3546.1499999999987</v>
      </c>
      <c r="Y31">
        <v>28.387549999999997</v>
      </c>
      <c r="Z31">
        <v>3.4042999999999992</v>
      </c>
      <c r="AA31">
        <v>3404.2999999999993</v>
      </c>
      <c r="AB31">
        <v>141.84999999999968</v>
      </c>
      <c r="AC31">
        <v>1.5738633378678664</v>
      </c>
      <c r="AD31">
        <v>3.9961844260926114</v>
      </c>
      <c r="AE31">
        <f t="shared" si="37"/>
        <v>3.8386263933933398</v>
      </c>
      <c r="AF31">
        <f t="shared" si="32"/>
        <v>6.0414733483337313E-2</v>
      </c>
      <c r="AG31" s="2">
        <f t="shared" si="35"/>
        <v>0.60414733483337313</v>
      </c>
      <c r="AH31">
        <v>10</v>
      </c>
      <c r="AI31">
        <f>AF31</f>
        <v>6.0414733483337313E-2</v>
      </c>
      <c r="AJ31">
        <f>AI31/AH31</f>
        <v>6.0414733483337311E-3</v>
      </c>
    </row>
    <row r="32" spans="1:36" x14ac:dyDescent="0.2">
      <c r="A32" t="s">
        <v>43</v>
      </c>
      <c r="B32">
        <v>2022</v>
      </c>
      <c r="C32">
        <f t="shared" si="36"/>
        <v>3</v>
      </c>
      <c r="D32">
        <v>1</v>
      </c>
      <c r="E32">
        <v>2</v>
      </c>
      <c r="F32" s="3" t="s">
        <v>41</v>
      </c>
      <c r="G32">
        <v>50</v>
      </c>
      <c r="H32">
        <v>15</v>
      </c>
      <c r="I32">
        <v>0.3</v>
      </c>
      <c r="J32">
        <v>4</v>
      </c>
      <c r="K32">
        <v>0</v>
      </c>
      <c r="L32">
        <v>13.5</v>
      </c>
      <c r="M32">
        <v>5.15</v>
      </c>
      <c r="N32">
        <v>38.042000000000002</v>
      </c>
      <c r="O32">
        <v>32.891999999999996</v>
      </c>
      <c r="P32">
        <v>30.730499999999999</v>
      </c>
      <c r="Q32">
        <v>25.580500000000001</v>
      </c>
      <c r="R32">
        <v>7.3115000000000006</v>
      </c>
      <c r="S32">
        <v>22.22913295045425</v>
      </c>
      <c r="T32">
        <v>9.5</v>
      </c>
      <c r="U32">
        <v>27.394449999999999</v>
      </c>
      <c r="V32">
        <v>31.1037</v>
      </c>
      <c r="W32">
        <v>3.7092500000000008</v>
      </c>
      <c r="X32">
        <v>3709.2500000000009</v>
      </c>
      <c r="Y32">
        <v>30.954999999999998</v>
      </c>
      <c r="Z32">
        <v>3.560550000000001</v>
      </c>
      <c r="AA32">
        <v>3560.5500000000011</v>
      </c>
      <c r="AB32">
        <v>148.69999999999959</v>
      </c>
      <c r="AC32">
        <v>1.5449435584168767</v>
      </c>
      <c r="AD32">
        <v>4.0092706536983567</v>
      </c>
      <c r="AE32">
        <f t="shared" si="37"/>
        <v>3.8433374353314083</v>
      </c>
      <c r="AF32">
        <f t="shared" si="32"/>
        <v>5.9377394135376987E-2</v>
      </c>
      <c r="AG32" s="2">
        <f t="shared" si="35"/>
        <v>2.9688697067688494</v>
      </c>
      <c r="AH32">
        <v>25</v>
      </c>
      <c r="AI32">
        <f>AF32-(AI33+AI34)</f>
        <v>8.6231860307194041E-4</v>
      </c>
      <c r="AJ32">
        <f t="shared" si="38"/>
        <v>3.4492744122877616E-5</v>
      </c>
    </row>
    <row r="33" spans="1:36" x14ac:dyDescent="0.2">
      <c r="A33" t="s">
        <v>43</v>
      </c>
      <c r="B33">
        <v>2022</v>
      </c>
      <c r="C33">
        <f t="shared" si="36"/>
        <v>3</v>
      </c>
      <c r="D33">
        <v>1</v>
      </c>
      <c r="E33">
        <v>2</v>
      </c>
      <c r="F33" t="s">
        <v>39</v>
      </c>
      <c r="G33">
        <v>25</v>
      </c>
      <c r="H33">
        <v>12</v>
      </c>
      <c r="I33">
        <v>0.48</v>
      </c>
      <c r="J33">
        <v>4</v>
      </c>
      <c r="K33">
        <v>0</v>
      </c>
      <c r="L33">
        <v>15.5</v>
      </c>
      <c r="M33">
        <v>5.1099999999999994</v>
      </c>
      <c r="N33">
        <v>41.954499999999996</v>
      </c>
      <c r="O33">
        <v>36.844499999999996</v>
      </c>
      <c r="P33">
        <v>34.326499999999996</v>
      </c>
      <c r="Q33">
        <v>29.2165</v>
      </c>
      <c r="R33">
        <v>7.6280000000000001</v>
      </c>
      <c r="S33">
        <v>20.767792694417871</v>
      </c>
      <c r="T33">
        <v>16.5</v>
      </c>
      <c r="U33">
        <v>28.714199999999998</v>
      </c>
      <c r="V33">
        <v>31.58295</v>
      </c>
      <c r="W33">
        <v>2.8687500000000004</v>
      </c>
      <c r="X33">
        <v>2868.7500000000005</v>
      </c>
      <c r="Y33">
        <v>31.477699999999999</v>
      </c>
      <c r="Z33">
        <v>2.7634999999999987</v>
      </c>
      <c r="AA33">
        <v>2763.4999999999986</v>
      </c>
      <c r="AB33">
        <v>105.25000000000182</v>
      </c>
      <c r="AC33">
        <v>1.5751266302286586</v>
      </c>
      <c r="AD33">
        <v>3.6526228024618685</v>
      </c>
      <c r="AE33">
        <f t="shared" si="37"/>
        <v>3.7149442088862727</v>
      </c>
      <c r="AF33">
        <f t="shared" si="32"/>
        <v>5.8515075532305047E-2</v>
      </c>
      <c r="AG33" s="2">
        <f t="shared" si="35"/>
        <v>1.4628768883076262</v>
      </c>
      <c r="AH33">
        <v>15</v>
      </c>
      <c r="AI33">
        <f>AF33-AF34</f>
        <v>-3.4883123756035903E-3</v>
      </c>
      <c r="AJ33">
        <f t="shared" si="38"/>
        <v>-2.3255415837357269E-4</v>
      </c>
    </row>
    <row r="34" spans="1:36" x14ac:dyDescent="0.2">
      <c r="A34" t="s">
        <v>43</v>
      </c>
      <c r="B34">
        <v>2022</v>
      </c>
      <c r="C34">
        <f t="shared" si="36"/>
        <v>3</v>
      </c>
      <c r="D34">
        <v>1</v>
      </c>
      <c r="E34">
        <v>2</v>
      </c>
      <c r="F34" t="s">
        <v>40</v>
      </c>
      <c r="G34">
        <v>10</v>
      </c>
      <c r="H34">
        <v>9</v>
      </c>
      <c r="I34">
        <v>0.9</v>
      </c>
      <c r="J34">
        <v>4</v>
      </c>
      <c r="K34">
        <v>0</v>
      </c>
      <c r="L34">
        <v>17.5</v>
      </c>
      <c r="M34">
        <v>5.09</v>
      </c>
      <c r="N34">
        <v>38.939</v>
      </c>
      <c r="O34">
        <v>33.849000000000004</v>
      </c>
      <c r="P34">
        <v>31.270499999999998</v>
      </c>
      <c r="Q34">
        <v>26.180500000000002</v>
      </c>
      <c r="R34">
        <v>7.6684999999999999</v>
      </c>
      <c r="S34">
        <v>22.655391683424611</v>
      </c>
      <c r="T34">
        <v>11</v>
      </c>
      <c r="U34">
        <v>27.58765</v>
      </c>
      <c r="V34">
        <v>30.893250000000002</v>
      </c>
      <c r="W34">
        <v>3.3056000000000001</v>
      </c>
      <c r="X34">
        <v>3305.6000000000004</v>
      </c>
      <c r="Y34">
        <v>30.751550000000002</v>
      </c>
      <c r="Z34">
        <v>3.1638999999999999</v>
      </c>
      <c r="AA34">
        <v>3163.8999999999996</v>
      </c>
      <c r="AB34">
        <v>141.70000000000027</v>
      </c>
      <c r="AC34">
        <v>1.5738633378678664</v>
      </c>
      <c r="AD34">
        <v>4.2765727451394735</v>
      </c>
      <c r="AE34">
        <f t="shared" si="37"/>
        <v>3.9395661882502102</v>
      </c>
      <c r="AF34">
        <f t="shared" si="32"/>
        <v>6.2003387907908637E-2</v>
      </c>
      <c r="AG34" s="2">
        <f t="shared" si="35"/>
        <v>0.62003387907908636</v>
      </c>
      <c r="AH34">
        <v>10</v>
      </c>
      <c r="AI34">
        <f>AF34</f>
        <v>6.2003387907908637E-2</v>
      </c>
      <c r="AJ34">
        <f t="shared" si="38"/>
        <v>6.2003387907908639E-3</v>
      </c>
    </row>
    <row r="35" spans="1:36" x14ac:dyDescent="0.2">
      <c r="A35" t="s">
        <v>43</v>
      </c>
      <c r="B35">
        <v>2022</v>
      </c>
      <c r="C35">
        <f t="shared" si="36"/>
        <v>3</v>
      </c>
      <c r="D35">
        <v>1</v>
      </c>
      <c r="E35">
        <v>3</v>
      </c>
      <c r="F35" s="3" t="s">
        <v>41</v>
      </c>
      <c r="G35">
        <v>50</v>
      </c>
      <c r="H35">
        <v>17</v>
      </c>
      <c r="I35">
        <v>0.34</v>
      </c>
      <c r="J35">
        <v>4</v>
      </c>
      <c r="K35">
        <v>0</v>
      </c>
      <c r="L35">
        <v>19.5</v>
      </c>
      <c r="M35">
        <v>5.09</v>
      </c>
      <c r="N35">
        <v>40.603499999999997</v>
      </c>
      <c r="O35">
        <v>35.513500000000001</v>
      </c>
      <c r="P35">
        <v>33.572000000000003</v>
      </c>
      <c r="Q35">
        <v>28.481999999999999</v>
      </c>
      <c r="R35">
        <v>7.0315000000000012</v>
      </c>
      <c r="S35">
        <v>19.828099010110847</v>
      </c>
      <c r="T35">
        <v>15</v>
      </c>
      <c r="U35">
        <v>28.393799999999999</v>
      </c>
      <c r="V35">
        <v>31.583100000000002</v>
      </c>
      <c r="W35">
        <v>3.1892999999999994</v>
      </c>
      <c r="X35">
        <v>3189.2999999999993</v>
      </c>
      <c r="Y35">
        <v>31.457000000000001</v>
      </c>
      <c r="Z35">
        <v>3.0632000000000001</v>
      </c>
      <c r="AA35">
        <v>3063.2</v>
      </c>
      <c r="AB35">
        <v>126.09999999999945</v>
      </c>
      <c r="AC35">
        <v>1.5449435584168767</v>
      </c>
      <c r="AD35">
        <v>3.9498985633227015</v>
      </c>
      <c r="AE35">
        <f t="shared" si="37"/>
        <v>3.8219634827961722</v>
      </c>
      <c r="AF35">
        <f t="shared" si="32"/>
        <v>5.9047178632504776E-2</v>
      </c>
      <c r="AG35" s="2">
        <f t="shared" si="35"/>
        <v>2.952358931625239</v>
      </c>
      <c r="AH35">
        <v>25</v>
      </c>
      <c r="AI35">
        <f>AF35-(AI36+AI37)</f>
        <v>-1.7972368742588812E-3</v>
      </c>
      <c r="AJ35">
        <f t="shared" si="38"/>
        <v>-7.1889474970355244E-5</v>
      </c>
    </row>
    <row r="36" spans="1:36" x14ac:dyDescent="0.2">
      <c r="A36" t="s">
        <v>43</v>
      </c>
      <c r="B36">
        <v>2022</v>
      </c>
      <c r="C36">
        <f t="shared" si="36"/>
        <v>3</v>
      </c>
      <c r="D36">
        <v>1</v>
      </c>
      <c r="E36">
        <v>3</v>
      </c>
      <c r="F36" t="s">
        <v>39</v>
      </c>
      <c r="G36">
        <v>25</v>
      </c>
      <c r="H36">
        <v>15</v>
      </c>
      <c r="I36">
        <v>0.6</v>
      </c>
      <c r="J36">
        <v>4</v>
      </c>
      <c r="K36">
        <v>0</v>
      </c>
      <c r="L36">
        <v>21.5</v>
      </c>
      <c r="M36">
        <v>5.04</v>
      </c>
      <c r="N36">
        <v>39.876000000000005</v>
      </c>
      <c r="O36">
        <v>34.835999999999999</v>
      </c>
      <c r="P36">
        <v>32.115000000000002</v>
      </c>
      <c r="Q36">
        <v>27.075000000000003</v>
      </c>
      <c r="R36">
        <v>7.761000000000001</v>
      </c>
      <c r="S36">
        <v>22.313248278176172</v>
      </c>
      <c r="T36">
        <v>4</v>
      </c>
      <c r="U36">
        <v>27.612949999999998</v>
      </c>
      <c r="V36">
        <v>30.475299999999997</v>
      </c>
      <c r="W36">
        <v>2.8623499999999993</v>
      </c>
      <c r="X36">
        <v>2862.3499999999995</v>
      </c>
      <c r="Y36">
        <v>30.35905</v>
      </c>
      <c r="Z36">
        <v>2.7461000000000002</v>
      </c>
      <c r="AA36">
        <v>2746.1000000000004</v>
      </c>
      <c r="AB36">
        <v>116.24999999999909</v>
      </c>
      <c r="AC36">
        <v>1.5751266302286586</v>
      </c>
      <c r="AD36">
        <v>4.0634081129102917</v>
      </c>
      <c r="AE36">
        <f t="shared" si="37"/>
        <v>3.8628269206477048</v>
      </c>
      <c r="AF36">
        <f t="shared" si="32"/>
        <v>6.0844415506763658E-2</v>
      </c>
      <c r="AG36" s="2">
        <f t="shared" si="35"/>
        <v>1.5211103876690915</v>
      </c>
      <c r="AH36">
        <v>15</v>
      </c>
      <c r="AI36">
        <f>AF36-AF37</f>
        <v>-8.435421139439056E-4</v>
      </c>
      <c r="AJ36">
        <f t="shared" si="38"/>
        <v>-5.6236140929593707E-5</v>
      </c>
    </row>
    <row r="37" spans="1:36" x14ac:dyDescent="0.2">
      <c r="A37" t="s">
        <v>43</v>
      </c>
      <c r="B37">
        <v>2022</v>
      </c>
      <c r="C37">
        <f t="shared" si="36"/>
        <v>3</v>
      </c>
      <c r="D37">
        <v>1</v>
      </c>
      <c r="E37">
        <v>3</v>
      </c>
      <c r="F37" t="s">
        <v>40</v>
      </c>
      <c r="G37">
        <v>10</v>
      </c>
      <c r="H37">
        <v>10</v>
      </c>
      <c r="I37">
        <v>1</v>
      </c>
      <c r="J37">
        <v>4</v>
      </c>
      <c r="K37">
        <v>0</v>
      </c>
      <c r="L37">
        <v>24</v>
      </c>
      <c r="M37">
        <v>5.1150000000000002</v>
      </c>
      <c r="N37">
        <v>42.016999999999996</v>
      </c>
      <c r="O37">
        <v>36.902000000000001</v>
      </c>
      <c r="P37">
        <v>34.325500000000005</v>
      </c>
      <c r="Q37">
        <v>29.210500000000003</v>
      </c>
      <c r="R37">
        <v>7.6914999999999978</v>
      </c>
      <c r="S37">
        <v>20.84263346229438</v>
      </c>
      <c r="T37">
        <v>12</v>
      </c>
      <c r="U37">
        <v>30.023350000000001</v>
      </c>
      <c r="V37">
        <v>33.0518</v>
      </c>
      <c r="W37">
        <v>3.0284500000000012</v>
      </c>
      <c r="X37">
        <v>3028.4500000000012</v>
      </c>
      <c r="Y37">
        <v>32.923900000000003</v>
      </c>
      <c r="Z37">
        <v>2.9005500000000044</v>
      </c>
      <c r="AA37">
        <v>2900.5500000000043</v>
      </c>
      <c r="AB37">
        <v>127.89999999999691</v>
      </c>
      <c r="AC37">
        <v>1.5738633378678664</v>
      </c>
      <c r="AD37">
        <v>4.2209011235225571</v>
      </c>
      <c r="AE37">
        <f t="shared" si="37"/>
        <v>3.9195244044681203</v>
      </c>
      <c r="AF37">
        <f t="shared" si="32"/>
        <v>6.1687957620707563E-2</v>
      </c>
      <c r="AG37" s="2">
        <f t="shared" si="35"/>
        <v>0.61687957620707567</v>
      </c>
      <c r="AH37">
        <v>10</v>
      </c>
      <c r="AI37">
        <f>AF37</f>
        <v>6.1687957620707563E-2</v>
      </c>
      <c r="AJ37">
        <f t="shared" si="38"/>
        <v>6.1687957620707567E-3</v>
      </c>
    </row>
    <row r="38" spans="1:36" x14ac:dyDescent="0.2">
      <c r="A38" t="s">
        <v>43</v>
      </c>
      <c r="B38">
        <v>2014</v>
      </c>
      <c r="C38">
        <f t="shared" si="36"/>
        <v>11</v>
      </c>
      <c r="D38">
        <v>2</v>
      </c>
      <c r="E38">
        <v>1</v>
      </c>
      <c r="F38" s="3" t="s">
        <v>41</v>
      </c>
      <c r="G38">
        <v>50</v>
      </c>
      <c r="H38">
        <v>17</v>
      </c>
      <c r="I38">
        <v>0.34</v>
      </c>
      <c r="J38">
        <v>4</v>
      </c>
      <c r="K38">
        <v>0</v>
      </c>
      <c r="L38">
        <v>25.5</v>
      </c>
      <c r="M38">
        <v>5.0049999999999999</v>
      </c>
      <c r="N38">
        <v>38.354500000000002</v>
      </c>
      <c r="O38">
        <v>33.349499999999999</v>
      </c>
      <c r="P38">
        <v>30.297000000000001</v>
      </c>
      <c r="Q38">
        <v>25.292000000000002</v>
      </c>
      <c r="R38">
        <v>8.057500000000001</v>
      </c>
      <c r="S38">
        <v>24.162050977540069</v>
      </c>
      <c r="T38">
        <v>16.5</v>
      </c>
      <c r="U38">
        <v>27.600899999999999</v>
      </c>
      <c r="V38">
        <v>30.536549999999998</v>
      </c>
      <c r="W38">
        <v>2.9356500000000008</v>
      </c>
      <c r="X38">
        <v>2935.6500000000005</v>
      </c>
      <c r="Y38">
        <v>30.383400000000002</v>
      </c>
      <c r="Z38">
        <v>2.7825000000000006</v>
      </c>
      <c r="AA38">
        <v>2782.5000000000005</v>
      </c>
      <c r="AB38">
        <v>153.15000000000032</v>
      </c>
      <c r="AC38">
        <v>1.5449435584168767</v>
      </c>
      <c r="AD38">
        <v>5.2154125765427741</v>
      </c>
      <c r="AE38">
        <f t="shared" si="37"/>
        <v>4.2775485275553988</v>
      </c>
      <c r="AF38">
        <f t="shared" si="32"/>
        <v>6.6085710434623093E-2</v>
      </c>
      <c r="AG38" s="2">
        <f t="shared" si="35"/>
        <v>3.3042855217311549</v>
      </c>
      <c r="AH38">
        <v>25</v>
      </c>
      <c r="AI38">
        <f>AF38-(AI39+AI40)</f>
        <v>-1.8743158784459701E-3</v>
      </c>
      <c r="AJ38">
        <f t="shared" si="38"/>
        <v>-7.4972635137838807E-5</v>
      </c>
    </row>
    <row r="39" spans="1:36" x14ac:dyDescent="0.2">
      <c r="A39" t="s">
        <v>43</v>
      </c>
      <c r="B39">
        <v>2014</v>
      </c>
      <c r="C39">
        <f t="shared" si="36"/>
        <v>11</v>
      </c>
      <c r="D39">
        <v>2</v>
      </c>
      <c r="E39">
        <v>1</v>
      </c>
      <c r="F39" t="s">
        <v>39</v>
      </c>
      <c r="G39">
        <v>25</v>
      </c>
      <c r="H39">
        <v>9</v>
      </c>
      <c r="I39">
        <v>0.36</v>
      </c>
      <c r="J39">
        <v>4</v>
      </c>
      <c r="K39">
        <v>0</v>
      </c>
      <c r="L39">
        <v>27.5</v>
      </c>
      <c r="M39">
        <v>4.9800000000000004</v>
      </c>
      <c r="N39">
        <v>40.520000000000003</v>
      </c>
      <c r="O39">
        <v>35.540000000000006</v>
      </c>
      <c r="P39">
        <v>30.2745</v>
      </c>
      <c r="Q39">
        <v>25.294499999999999</v>
      </c>
      <c r="R39">
        <v>10.245500000000003</v>
      </c>
      <c r="S39">
        <v>28.855908645406373</v>
      </c>
      <c r="T39">
        <v>15.5</v>
      </c>
      <c r="U39">
        <v>28.996649999999999</v>
      </c>
      <c r="V39">
        <v>31.681649999999998</v>
      </c>
      <c r="W39">
        <v>2.6850000000000005</v>
      </c>
      <c r="X39">
        <v>2685.0000000000009</v>
      </c>
      <c r="Y39">
        <v>31.538499999999999</v>
      </c>
      <c r="Z39">
        <v>2.5418500000000002</v>
      </c>
      <c r="AA39">
        <v>2541.8500000000004</v>
      </c>
      <c r="AB39">
        <v>143.15000000000055</v>
      </c>
      <c r="AC39">
        <v>1.5751266302286586</v>
      </c>
      <c r="AD39">
        <v>5.3182650363946742</v>
      </c>
      <c r="AE39">
        <f t="shared" si="37"/>
        <v>4.3145754131020828</v>
      </c>
      <c r="AF39">
        <f t="shared" si="32"/>
        <v>6.7960026313069063E-2</v>
      </c>
      <c r="AG39" s="2">
        <f t="shared" si="35"/>
        <v>1.6990006578267265</v>
      </c>
      <c r="AH39">
        <v>15</v>
      </c>
      <c r="AI39">
        <f>AF39-AF40</f>
        <v>4.8239437714364813E-3</v>
      </c>
      <c r="AJ39">
        <f t="shared" si="38"/>
        <v>3.2159625142909873E-4</v>
      </c>
    </row>
    <row r="40" spans="1:36" x14ac:dyDescent="0.2">
      <c r="A40" t="s">
        <v>43</v>
      </c>
      <c r="B40">
        <v>2014</v>
      </c>
      <c r="C40">
        <f t="shared" si="36"/>
        <v>11</v>
      </c>
      <c r="D40">
        <v>2</v>
      </c>
      <c r="E40">
        <v>1</v>
      </c>
      <c r="F40" t="s">
        <v>40</v>
      </c>
      <c r="G40">
        <v>10</v>
      </c>
      <c r="H40">
        <v>10</v>
      </c>
      <c r="I40">
        <v>1</v>
      </c>
      <c r="J40">
        <v>4</v>
      </c>
      <c r="K40">
        <v>0</v>
      </c>
      <c r="L40">
        <v>29.5</v>
      </c>
      <c r="M40">
        <v>5.03</v>
      </c>
      <c r="N40">
        <v>41.394000000000005</v>
      </c>
      <c r="O40">
        <v>36.364000000000004</v>
      </c>
      <c r="P40">
        <v>31.616500000000002</v>
      </c>
      <c r="Q40">
        <v>26.586500000000001</v>
      </c>
      <c r="R40">
        <v>9.7775000000000016</v>
      </c>
      <c r="S40">
        <v>26.885909043659233</v>
      </c>
      <c r="T40">
        <v>11.5</v>
      </c>
      <c r="U40">
        <v>29.570550000000001</v>
      </c>
      <c r="V40">
        <v>33.342300000000002</v>
      </c>
      <c r="W40">
        <v>3.7717500000000008</v>
      </c>
      <c r="X40">
        <v>3771.7500000000009</v>
      </c>
      <c r="Y40">
        <v>33.173649999999995</v>
      </c>
      <c r="Z40">
        <v>3.6030999999999977</v>
      </c>
      <c r="AA40">
        <v>3603.0999999999976</v>
      </c>
      <c r="AB40">
        <v>168.65000000000305</v>
      </c>
      <c r="AC40">
        <v>1.5738633378678664</v>
      </c>
      <c r="AD40">
        <v>4.476486797831555</v>
      </c>
      <c r="AE40">
        <f t="shared" si="37"/>
        <v>4.0115352472193599</v>
      </c>
      <c r="AF40">
        <f t="shared" si="32"/>
        <v>6.3136082541632582E-2</v>
      </c>
      <c r="AG40" s="2">
        <f t="shared" si="35"/>
        <v>0.63136082541632588</v>
      </c>
      <c r="AH40">
        <v>10</v>
      </c>
      <c r="AI40">
        <f>AF40</f>
        <v>6.3136082541632582E-2</v>
      </c>
      <c r="AJ40">
        <f t="shared" si="38"/>
        <v>6.3136082541632582E-3</v>
      </c>
    </row>
    <row r="41" spans="1:36" x14ac:dyDescent="0.2">
      <c r="A41" t="s">
        <v>43</v>
      </c>
      <c r="B41">
        <v>2014</v>
      </c>
      <c r="C41">
        <f t="shared" si="36"/>
        <v>11</v>
      </c>
      <c r="D41">
        <v>2</v>
      </c>
      <c r="E41">
        <v>2</v>
      </c>
      <c r="F41" s="3" t="s">
        <v>41</v>
      </c>
      <c r="G41">
        <v>50</v>
      </c>
      <c r="H41">
        <v>25</v>
      </c>
      <c r="I41">
        <v>0.5</v>
      </c>
      <c r="J41">
        <v>4</v>
      </c>
      <c r="K41">
        <v>0</v>
      </c>
      <c r="L41">
        <v>31.5</v>
      </c>
      <c r="M41">
        <v>4.9849999999999994</v>
      </c>
      <c r="N41">
        <v>41.088499999999996</v>
      </c>
      <c r="O41">
        <v>36.103499999999997</v>
      </c>
      <c r="P41">
        <v>32.519999999999996</v>
      </c>
      <c r="Q41">
        <v>27.535</v>
      </c>
      <c r="R41">
        <v>8.5685000000000002</v>
      </c>
      <c r="S41">
        <v>23.73610027123307</v>
      </c>
      <c r="T41">
        <v>6.5</v>
      </c>
      <c r="U41">
        <v>27.044600000000003</v>
      </c>
      <c r="V41">
        <v>29.898150000000001</v>
      </c>
      <c r="W41">
        <v>2.8535499999999985</v>
      </c>
      <c r="X41">
        <v>2853.5499999999984</v>
      </c>
      <c r="Y41">
        <v>29.80585</v>
      </c>
      <c r="Z41">
        <v>2.7612499999999986</v>
      </c>
      <c r="AA41">
        <v>2761.2499999999986</v>
      </c>
      <c r="AB41">
        <v>92.299999999999955</v>
      </c>
      <c r="AC41">
        <v>1.5449435584168767</v>
      </c>
      <c r="AD41">
        <v>3.0848442444795259</v>
      </c>
      <c r="AE41">
        <f t="shared" si="37"/>
        <v>3.5105439280126292</v>
      </c>
      <c r="AF41">
        <f t="shared" si="32"/>
        <v>5.423592228122591E-2</v>
      </c>
      <c r="AG41" s="2">
        <f t="shared" si="35"/>
        <v>2.7117961140612956</v>
      </c>
      <c r="AH41">
        <v>25</v>
      </c>
      <c r="AI41">
        <f>AF41-(AI42+AI43)</f>
        <v>-1.5786855388108353E-2</v>
      </c>
      <c r="AJ41">
        <f t="shared" si="38"/>
        <v>-6.3147421552433409E-4</v>
      </c>
    </row>
    <row r="42" spans="1:36" x14ac:dyDescent="0.2">
      <c r="A42" t="s">
        <v>43</v>
      </c>
      <c r="B42">
        <v>2014</v>
      </c>
      <c r="C42">
        <f t="shared" si="36"/>
        <v>11</v>
      </c>
      <c r="D42">
        <v>2</v>
      </c>
      <c r="E42">
        <v>2</v>
      </c>
      <c r="F42" t="s">
        <v>39</v>
      </c>
      <c r="G42">
        <v>25</v>
      </c>
      <c r="H42">
        <v>15</v>
      </c>
      <c r="I42">
        <v>0.6</v>
      </c>
      <c r="J42">
        <v>4</v>
      </c>
      <c r="K42">
        <v>0</v>
      </c>
      <c r="L42">
        <v>33.5</v>
      </c>
      <c r="M42">
        <v>4.9749999999999996</v>
      </c>
      <c r="N42">
        <v>37.304000000000002</v>
      </c>
      <c r="O42">
        <v>32.328999999999994</v>
      </c>
      <c r="P42">
        <v>28.5945</v>
      </c>
      <c r="Q42">
        <v>23.619499999999999</v>
      </c>
      <c r="R42">
        <v>8.7094999999999985</v>
      </c>
      <c r="S42">
        <v>26.936526390785325</v>
      </c>
      <c r="T42">
        <v>20.5</v>
      </c>
      <c r="U42">
        <v>29.8047</v>
      </c>
      <c r="V42">
        <v>32.8005</v>
      </c>
      <c r="W42">
        <v>2.9958000000000009</v>
      </c>
      <c r="X42">
        <v>2995.8000000000011</v>
      </c>
      <c r="Y42">
        <v>32.630400000000002</v>
      </c>
      <c r="Z42">
        <v>2.8257000000000012</v>
      </c>
      <c r="AA42">
        <v>2825.7000000000012</v>
      </c>
      <c r="AB42">
        <v>170.09999999999968</v>
      </c>
      <c r="AC42">
        <v>1.5751266302286586</v>
      </c>
      <c r="AD42">
        <v>5.682036733764976</v>
      </c>
      <c r="AE42">
        <f t="shared" si="37"/>
        <v>4.4455332241553913</v>
      </c>
      <c r="AF42">
        <f t="shared" si="32"/>
        <v>7.0022777669334263E-2</v>
      </c>
      <c r="AG42" s="2">
        <f t="shared" si="35"/>
        <v>1.7505694417333566</v>
      </c>
      <c r="AH42">
        <v>15</v>
      </c>
      <c r="AI42">
        <f>AF42-AF43</f>
        <v>-5.3212791367735907E-3</v>
      </c>
      <c r="AJ42">
        <f t="shared" si="38"/>
        <v>-3.5475194245157272E-4</v>
      </c>
    </row>
    <row r="43" spans="1:36" x14ac:dyDescent="0.2">
      <c r="A43" t="s">
        <v>43</v>
      </c>
      <c r="B43">
        <v>2014</v>
      </c>
      <c r="C43">
        <f t="shared" si="36"/>
        <v>11</v>
      </c>
      <c r="D43">
        <v>2</v>
      </c>
      <c r="E43">
        <v>2</v>
      </c>
      <c r="F43" t="s">
        <v>40</v>
      </c>
      <c r="G43">
        <v>10</v>
      </c>
      <c r="H43">
        <v>10</v>
      </c>
      <c r="I43">
        <v>1</v>
      </c>
      <c r="J43">
        <v>4</v>
      </c>
      <c r="K43">
        <v>0</v>
      </c>
      <c r="L43">
        <v>35.5</v>
      </c>
      <c r="M43">
        <v>5.0600000000000005</v>
      </c>
      <c r="N43">
        <v>39.467500000000001</v>
      </c>
      <c r="O43">
        <v>34.407499999999999</v>
      </c>
      <c r="P43">
        <v>29.176499999999997</v>
      </c>
      <c r="Q43">
        <v>24.116499999999998</v>
      </c>
      <c r="R43">
        <v>10.291000000000002</v>
      </c>
      <c r="S43">
        <v>29.960112242430647</v>
      </c>
      <c r="T43">
        <v>11</v>
      </c>
      <c r="U43">
        <v>26.31325</v>
      </c>
      <c r="V43">
        <v>29.920299999999997</v>
      </c>
      <c r="W43">
        <v>3.6070499999999992</v>
      </c>
      <c r="X43">
        <v>3607.0499999999993</v>
      </c>
      <c r="Y43">
        <v>29.681449999999998</v>
      </c>
      <c r="Z43">
        <v>3.3681999999999999</v>
      </c>
      <c r="AA43">
        <v>3368.2</v>
      </c>
      <c r="AB43">
        <v>238.84999999999945</v>
      </c>
      <c r="AC43">
        <v>1.5738633378678664</v>
      </c>
      <c r="AD43">
        <v>6.6311236590905631</v>
      </c>
      <c r="AE43">
        <f t="shared" si="37"/>
        <v>4.7872045172726025</v>
      </c>
      <c r="AF43">
        <f>AC43*(AE43/100)</f>
        <v>7.5344056806107854E-2</v>
      </c>
      <c r="AG43" s="2">
        <f t="shared" si="35"/>
        <v>0.75344056806107851</v>
      </c>
      <c r="AH43">
        <v>10</v>
      </c>
      <c r="AI43">
        <f>AF43</f>
        <v>7.5344056806107854E-2</v>
      </c>
      <c r="AJ43">
        <f t="shared" si="38"/>
        <v>7.5344056806107857E-3</v>
      </c>
    </row>
    <row r="44" spans="1:36" x14ac:dyDescent="0.2">
      <c r="A44" t="s">
        <v>43</v>
      </c>
      <c r="B44">
        <v>2014</v>
      </c>
      <c r="C44">
        <f t="shared" si="36"/>
        <v>11</v>
      </c>
      <c r="D44">
        <v>2</v>
      </c>
      <c r="E44">
        <v>3</v>
      </c>
      <c r="F44" t="s">
        <v>41</v>
      </c>
      <c r="G44">
        <v>40</v>
      </c>
      <c r="H44">
        <v>15</v>
      </c>
      <c r="I44">
        <v>0.375</v>
      </c>
      <c r="J44">
        <v>4</v>
      </c>
      <c r="K44">
        <v>0</v>
      </c>
      <c r="L44">
        <v>37.5</v>
      </c>
      <c r="M44">
        <v>5.085</v>
      </c>
      <c r="N44">
        <v>35.634</v>
      </c>
      <c r="O44">
        <v>30.548999999999999</v>
      </c>
      <c r="P44">
        <v>27.603999999999999</v>
      </c>
      <c r="Q44">
        <v>22.518999999999998</v>
      </c>
      <c r="R44">
        <v>8.0300000000000011</v>
      </c>
      <c r="S44">
        <v>26.287475953981502</v>
      </c>
      <c r="T44">
        <v>8.5</v>
      </c>
      <c r="U44">
        <v>28.383099999999999</v>
      </c>
      <c r="V44">
        <v>31.561450000000001</v>
      </c>
      <c r="W44">
        <v>3.17835</v>
      </c>
      <c r="X44">
        <v>3178.35</v>
      </c>
      <c r="Y44">
        <v>31.373800000000003</v>
      </c>
      <c r="Z44">
        <v>2.9907000000000004</v>
      </c>
      <c r="AA44">
        <v>2990.7000000000007</v>
      </c>
      <c r="AB44">
        <v>187.64999999999941</v>
      </c>
      <c r="AC44">
        <v>1.5449435584168767</v>
      </c>
      <c r="AD44">
        <v>5.903562911516973</v>
      </c>
      <c r="AE44">
        <f t="shared" si="37"/>
        <v>4.5252826481461099</v>
      </c>
      <c r="AF44">
        <f t="shared" si="32"/>
        <v>6.9913062772689979E-2</v>
      </c>
      <c r="AG44" s="2">
        <f t="shared" si="35"/>
        <v>2.7965225109075993</v>
      </c>
      <c r="AH44">
        <v>25</v>
      </c>
      <c r="AI44">
        <f>AF44-(AI45+AI46)</f>
        <v>2.1779983923719964E-3</v>
      </c>
      <c r="AJ44">
        <f t="shared" si="38"/>
        <v>8.7119935694879858E-5</v>
      </c>
    </row>
    <row r="45" spans="1:36" x14ac:dyDescent="0.2">
      <c r="A45" t="s">
        <v>43</v>
      </c>
      <c r="B45">
        <v>2014</v>
      </c>
      <c r="C45">
        <f t="shared" si="36"/>
        <v>11</v>
      </c>
      <c r="D45">
        <v>2</v>
      </c>
      <c r="E45">
        <v>3</v>
      </c>
      <c r="F45" t="s">
        <v>39</v>
      </c>
      <c r="G45">
        <v>25</v>
      </c>
      <c r="H45">
        <v>11</v>
      </c>
      <c r="I45">
        <v>0.44</v>
      </c>
      <c r="J45">
        <v>4</v>
      </c>
      <c r="K45">
        <v>0</v>
      </c>
      <c r="L45">
        <v>39.5</v>
      </c>
      <c r="M45">
        <v>5.1349999999999998</v>
      </c>
      <c r="N45">
        <v>38.344000000000001</v>
      </c>
      <c r="O45">
        <v>33.209000000000003</v>
      </c>
      <c r="P45">
        <v>29.087</v>
      </c>
      <c r="Q45">
        <v>23.951999999999998</v>
      </c>
      <c r="R45">
        <v>9.2570000000000014</v>
      </c>
      <c r="S45">
        <v>27.86147490767344</v>
      </c>
      <c r="T45">
        <v>8.5</v>
      </c>
      <c r="U45">
        <v>27.914549999999998</v>
      </c>
      <c r="V45">
        <v>31.487099999999998</v>
      </c>
      <c r="W45">
        <v>3.5725499999999997</v>
      </c>
      <c r="X45">
        <v>3572.5499999999997</v>
      </c>
      <c r="Y45">
        <v>31.2987</v>
      </c>
      <c r="Z45">
        <v>3.38415</v>
      </c>
      <c r="AA45">
        <v>3384.1499999999996</v>
      </c>
      <c r="AB45">
        <v>188.39999999999986</v>
      </c>
      <c r="AC45">
        <v>1.5751266302286586</v>
      </c>
      <c r="AD45">
        <v>5.2785924001983595</v>
      </c>
      <c r="AE45">
        <f t="shared" si="37"/>
        <v>4.3002932640714091</v>
      </c>
      <c r="AF45">
        <f t="shared" si="32"/>
        <v>6.7735064380317983E-2</v>
      </c>
      <c r="AG45" s="2">
        <f t="shared" si="35"/>
        <v>1.6933766095079497</v>
      </c>
      <c r="AH45">
        <v>15</v>
      </c>
      <c r="AI45">
        <f t="shared" ref="AI45" si="39">AF45-AF46</f>
        <v>-8.9313241188045123E-4</v>
      </c>
      <c r="AJ45">
        <f t="shared" si="38"/>
        <v>-5.9542160792030081E-5</v>
      </c>
    </row>
    <row r="46" spans="1:36" x14ac:dyDescent="0.2">
      <c r="A46" t="s">
        <v>43</v>
      </c>
      <c r="B46">
        <v>2014</v>
      </c>
      <c r="C46">
        <f t="shared" si="36"/>
        <v>11</v>
      </c>
      <c r="D46">
        <v>2</v>
      </c>
      <c r="E46">
        <v>3</v>
      </c>
      <c r="F46" t="s">
        <v>40</v>
      </c>
      <c r="G46">
        <v>10</v>
      </c>
      <c r="H46">
        <v>10</v>
      </c>
      <c r="I46">
        <v>1</v>
      </c>
      <c r="J46">
        <v>4</v>
      </c>
      <c r="K46">
        <v>0</v>
      </c>
      <c r="L46">
        <v>41.5</v>
      </c>
      <c r="M46">
        <v>5.09</v>
      </c>
      <c r="N46">
        <v>38.408999999999999</v>
      </c>
      <c r="O46">
        <v>33.319000000000003</v>
      </c>
      <c r="P46">
        <v>29.038</v>
      </c>
      <c r="Q46">
        <v>23.948</v>
      </c>
      <c r="R46">
        <v>9.3709999999999987</v>
      </c>
      <c r="S46">
        <v>28.125896308745613</v>
      </c>
      <c r="T46">
        <v>6.5</v>
      </c>
      <c r="U46">
        <v>24.757249999999999</v>
      </c>
      <c r="V46">
        <v>28.444200000000002</v>
      </c>
      <c r="W46">
        <v>3.6869500000000013</v>
      </c>
      <c r="X46">
        <v>3686.9500000000012</v>
      </c>
      <c r="Y46">
        <v>28.243499999999997</v>
      </c>
      <c r="Z46">
        <v>3.4862500000000001</v>
      </c>
      <c r="AA46">
        <v>3486.25</v>
      </c>
      <c r="AB46">
        <v>200.70000000000118</v>
      </c>
      <c r="AC46">
        <v>1.5738633378678664</v>
      </c>
      <c r="AD46">
        <v>5.4458132031918716</v>
      </c>
      <c r="AE46">
        <f t="shared" si="37"/>
        <v>4.3604927531490736</v>
      </c>
      <c r="AF46">
        <f t="shared" si="32"/>
        <v>6.8628196792198434E-2</v>
      </c>
      <c r="AG46" s="2">
        <f t="shared" si="35"/>
        <v>0.68628196792198437</v>
      </c>
      <c r="AH46">
        <v>10</v>
      </c>
      <c r="AI46">
        <f t="shared" ref="AI46" si="40">AF46</f>
        <v>6.8628196792198434E-2</v>
      </c>
      <c r="AJ46">
        <f t="shared" si="38"/>
        <v>6.8628196792198436E-3</v>
      </c>
    </row>
    <row r="47" spans="1:36" x14ac:dyDescent="0.2">
      <c r="A47" t="s">
        <v>44</v>
      </c>
      <c r="B47">
        <v>2005</v>
      </c>
      <c r="C47">
        <f t="shared" si="36"/>
        <v>20</v>
      </c>
      <c r="D47">
        <v>1</v>
      </c>
      <c r="E47">
        <v>1</v>
      </c>
      <c r="F47" t="s">
        <v>38</v>
      </c>
      <c r="G47">
        <v>50</v>
      </c>
      <c r="H47">
        <v>17.5</v>
      </c>
      <c r="I47">
        <f>H47/G47</f>
        <v>0.35</v>
      </c>
      <c r="J47">
        <v>4</v>
      </c>
      <c r="L47">
        <v>5</v>
      </c>
      <c r="M47">
        <v>1.825</v>
      </c>
      <c r="N47">
        <v>37.319000000000003</v>
      </c>
      <c r="O47">
        <f t="shared" ref="O47:O109" si="41">N47-M47</f>
        <v>35.494</v>
      </c>
      <c r="P47">
        <v>29.777999999999999</v>
      </c>
      <c r="Q47">
        <f t="shared" ref="Q47:Q109" si="42">P47-M47</f>
        <v>27.952999999999999</v>
      </c>
      <c r="R47">
        <f>O47-Q47</f>
        <v>7.5410000000000004</v>
      </c>
      <c r="S47">
        <f>((O47-Q47)/O47)*100</f>
        <v>21.245844368062208</v>
      </c>
      <c r="T47">
        <v>16</v>
      </c>
      <c r="U47">
        <v>28.4542</v>
      </c>
      <c r="V47">
        <v>32.271000000000001</v>
      </c>
      <c r="W47">
        <f>V47-U47</f>
        <v>3.8168000000000006</v>
      </c>
      <c r="X47">
        <f>W47*1000</f>
        <v>3816.8000000000006</v>
      </c>
      <c r="Y47">
        <v>32.136299999999999</v>
      </c>
      <c r="Z47">
        <f>Y47-U47</f>
        <v>3.6820999999999984</v>
      </c>
      <c r="AA47">
        <f t="shared" ref="AA47:AA108" si="43">Z47*1000</f>
        <v>3682.0999999999985</v>
      </c>
      <c r="AB47">
        <f>X47-AA47</f>
        <v>134.70000000000209</v>
      </c>
      <c r="AC47">
        <v>1.0202627626905951</v>
      </c>
      <c r="AD47">
        <f t="shared" ref="AD47:AD78" si="44">((X47-AA47)/X47)*100</f>
        <v>3.5291343533850892</v>
      </c>
      <c r="AE47">
        <f>0.36*AD47+2.4</f>
        <v>3.6704883672186321</v>
      </c>
      <c r="AF47">
        <f t="shared" si="32"/>
        <v>3.7448626019621734E-2</v>
      </c>
      <c r="AG47" s="2">
        <f t="shared" si="35"/>
        <v>1.8724313009810867</v>
      </c>
      <c r="AH47">
        <v>25</v>
      </c>
      <c r="AI47">
        <f>AF47-(AI48+AI49)</f>
        <v>8.5547871379157113E-3</v>
      </c>
      <c r="AJ47">
        <f>AI47/AH47</f>
        <v>3.4219148551662846E-4</v>
      </c>
    </row>
    <row r="48" spans="1:36" x14ac:dyDescent="0.2">
      <c r="A48" t="s">
        <v>44</v>
      </c>
      <c r="B48">
        <v>2005</v>
      </c>
      <c r="C48">
        <f t="shared" si="36"/>
        <v>20</v>
      </c>
      <c r="D48">
        <v>1</v>
      </c>
      <c r="E48">
        <v>1</v>
      </c>
      <c r="F48" t="s">
        <v>39</v>
      </c>
      <c r="G48">
        <v>25</v>
      </c>
      <c r="H48">
        <v>9</v>
      </c>
      <c r="I48">
        <f t="shared" ref="I48:I100" si="45">H48/G48</f>
        <v>0.36</v>
      </c>
      <c r="J48">
        <v>4</v>
      </c>
      <c r="L48">
        <v>6</v>
      </c>
      <c r="M48">
        <v>1.796</v>
      </c>
      <c r="N48">
        <v>38.600999999999999</v>
      </c>
      <c r="O48">
        <f t="shared" si="41"/>
        <v>36.805</v>
      </c>
      <c r="P48">
        <v>30.643000000000001</v>
      </c>
      <c r="Q48">
        <f t="shared" si="42"/>
        <v>28.847000000000001</v>
      </c>
      <c r="R48">
        <f t="shared" ref="R48:R82" si="46">O48-Q48</f>
        <v>7.9579999999999984</v>
      </c>
      <c r="S48">
        <f t="shared" ref="S48:S82" si="47">((O48-Q48)/O48)*100</f>
        <v>21.622062219807088</v>
      </c>
      <c r="T48">
        <v>13</v>
      </c>
      <c r="U48">
        <v>22.195699999999999</v>
      </c>
      <c r="V48">
        <v>25.920300000000001</v>
      </c>
      <c r="W48">
        <f t="shared" ref="W48:W82" si="48">V48-U48</f>
        <v>3.7246000000000024</v>
      </c>
      <c r="X48">
        <f t="shared" ref="X48:X82" si="49">W48*1000</f>
        <v>3724.6000000000022</v>
      </c>
      <c r="Y48">
        <v>25.772500000000001</v>
      </c>
      <c r="Z48">
        <f t="shared" ref="Z48:Z82" si="50">Y48-U48</f>
        <v>3.5768000000000022</v>
      </c>
      <c r="AA48">
        <f t="shared" si="43"/>
        <v>3576.800000000002</v>
      </c>
      <c r="AB48">
        <f t="shared" ref="AB48:AB82" si="51">X48-AA48</f>
        <v>147.80000000000018</v>
      </c>
      <c r="AC48">
        <v>0.75469284577388129</v>
      </c>
      <c r="AD48">
        <f t="shared" si="44"/>
        <v>3.9682113515545319</v>
      </c>
      <c r="AE48">
        <f t="shared" ref="AE48:AE82" si="52">0.36*AD48+2.4</f>
        <v>3.8285560865596313</v>
      </c>
      <c r="AF48">
        <f t="shared" si="32"/>
        <v>2.8893838881706022E-2</v>
      </c>
      <c r="AG48" s="2">
        <f t="shared" si="35"/>
        <v>0.72234597204265061</v>
      </c>
      <c r="AH48">
        <v>15</v>
      </c>
      <c r="AI48">
        <f>AF48-AF49</f>
        <v>-7.7209103822298529E-3</v>
      </c>
      <c r="AJ48">
        <f t="shared" ref="AJ48:AJ82" si="53">AI48/AH48</f>
        <v>-5.1472735881532357E-4</v>
      </c>
    </row>
    <row r="49" spans="1:37" x14ac:dyDescent="0.2">
      <c r="A49" t="s">
        <v>44</v>
      </c>
      <c r="B49">
        <v>2005</v>
      </c>
      <c r="C49">
        <f t="shared" si="36"/>
        <v>20</v>
      </c>
      <c r="D49">
        <v>1</v>
      </c>
      <c r="E49">
        <v>1</v>
      </c>
      <c r="F49" t="s">
        <v>40</v>
      </c>
      <c r="G49">
        <v>10</v>
      </c>
      <c r="H49">
        <v>4</v>
      </c>
      <c r="I49">
        <f t="shared" si="45"/>
        <v>0.4</v>
      </c>
      <c r="J49">
        <v>4</v>
      </c>
      <c r="L49">
        <v>7</v>
      </c>
      <c r="M49">
        <v>1.8149999999999999</v>
      </c>
      <c r="N49">
        <v>33.651000000000003</v>
      </c>
      <c r="O49">
        <f t="shared" si="41"/>
        <v>31.836000000000002</v>
      </c>
      <c r="P49">
        <v>26.782</v>
      </c>
      <c r="Q49">
        <f t="shared" si="42"/>
        <v>24.966999999999999</v>
      </c>
      <c r="R49">
        <f t="shared" si="46"/>
        <v>6.8690000000000033</v>
      </c>
      <c r="S49">
        <f t="shared" si="47"/>
        <v>21.576203040582996</v>
      </c>
      <c r="T49">
        <v>7</v>
      </c>
      <c r="U49">
        <v>27.256399999999999</v>
      </c>
      <c r="V49">
        <v>31.168399999999998</v>
      </c>
      <c r="W49">
        <f t="shared" si="48"/>
        <v>3.911999999999999</v>
      </c>
      <c r="X49">
        <f t="shared" si="49"/>
        <v>3911.9999999999991</v>
      </c>
      <c r="Y49">
        <v>31.0078</v>
      </c>
      <c r="Z49">
        <f t="shared" si="50"/>
        <v>3.7514000000000003</v>
      </c>
      <c r="AA49">
        <f t="shared" si="43"/>
        <v>3751.4</v>
      </c>
      <c r="AB49">
        <f t="shared" si="51"/>
        <v>160.599999999999</v>
      </c>
      <c r="AC49">
        <v>0.94418669989266912</v>
      </c>
      <c r="AD49">
        <f t="shared" si="44"/>
        <v>4.1053169734151078</v>
      </c>
      <c r="AE49">
        <f t="shared" si="52"/>
        <v>3.8779141104294386</v>
      </c>
      <c r="AF49">
        <f t="shared" si="32"/>
        <v>3.6614749263935875E-2</v>
      </c>
      <c r="AG49" s="2">
        <f t="shared" si="35"/>
        <v>0.36614749263935875</v>
      </c>
      <c r="AH49">
        <v>10</v>
      </c>
      <c r="AI49">
        <f>AF49</f>
        <v>3.6614749263935875E-2</v>
      </c>
      <c r="AJ49">
        <f t="shared" si="53"/>
        <v>3.6614749263935873E-3</v>
      </c>
    </row>
    <row r="50" spans="1:37" x14ac:dyDescent="0.2">
      <c r="A50" t="s">
        <v>44</v>
      </c>
      <c r="B50">
        <v>2005</v>
      </c>
      <c r="C50">
        <f t="shared" si="36"/>
        <v>20</v>
      </c>
      <c r="D50">
        <v>1</v>
      </c>
      <c r="E50">
        <v>2</v>
      </c>
      <c r="F50" s="3" t="s">
        <v>41</v>
      </c>
      <c r="G50">
        <v>50</v>
      </c>
      <c r="H50">
        <v>14.6</v>
      </c>
      <c r="I50">
        <f t="shared" si="45"/>
        <v>0.29199999999999998</v>
      </c>
      <c r="J50">
        <v>4</v>
      </c>
      <c r="L50">
        <v>8</v>
      </c>
      <c r="M50">
        <v>1.798</v>
      </c>
      <c r="N50">
        <v>33.741999999999997</v>
      </c>
      <c r="O50">
        <f t="shared" si="41"/>
        <v>31.943999999999996</v>
      </c>
      <c r="P50">
        <v>26.77</v>
      </c>
      <c r="Q50">
        <f t="shared" si="42"/>
        <v>24.972000000000001</v>
      </c>
      <c r="R50">
        <f t="shared" si="46"/>
        <v>6.9719999999999942</v>
      </c>
      <c r="S50">
        <f t="shared" si="47"/>
        <v>21.82569496619082</v>
      </c>
      <c r="T50">
        <v>20</v>
      </c>
      <c r="U50">
        <v>28.529299999999999</v>
      </c>
      <c r="V50">
        <v>31.868099999999998</v>
      </c>
      <c r="W50">
        <f t="shared" si="48"/>
        <v>3.3387999999999991</v>
      </c>
      <c r="X50">
        <f t="shared" si="49"/>
        <v>3338.7999999999993</v>
      </c>
      <c r="Y50">
        <v>31.743400000000001</v>
      </c>
      <c r="Z50">
        <f t="shared" si="50"/>
        <v>3.214100000000002</v>
      </c>
      <c r="AA50">
        <f t="shared" si="43"/>
        <v>3214.1000000000022</v>
      </c>
      <c r="AB50">
        <f t="shared" si="51"/>
        <v>124.69999999999709</v>
      </c>
      <c r="AC50">
        <v>1.0202627626905951</v>
      </c>
      <c r="AD50">
        <f t="shared" si="44"/>
        <v>3.7348748053191905</v>
      </c>
      <c r="AE50">
        <f t="shared" si="52"/>
        <v>3.7445549299149086</v>
      </c>
      <c r="AF50">
        <f t="shared" si="32"/>
        <v>3.8204299578416728E-2</v>
      </c>
      <c r="AG50" s="2">
        <f t="shared" si="35"/>
        <v>1.9102149789208365</v>
      </c>
      <c r="AH50">
        <v>25</v>
      </c>
      <c r="AI50">
        <f>AF50-(AI51+AI52)</f>
        <v>9.0235531504340057E-3</v>
      </c>
      <c r="AJ50">
        <f t="shared" si="53"/>
        <v>3.6094212601736023E-4</v>
      </c>
    </row>
    <row r="51" spans="1:37" x14ac:dyDescent="0.2">
      <c r="A51" t="s">
        <v>44</v>
      </c>
      <c r="B51">
        <v>2005</v>
      </c>
      <c r="C51">
        <f t="shared" si="36"/>
        <v>20</v>
      </c>
      <c r="D51">
        <v>1</v>
      </c>
      <c r="E51">
        <v>2</v>
      </c>
      <c r="F51" t="s">
        <v>39</v>
      </c>
      <c r="G51">
        <v>25</v>
      </c>
      <c r="H51">
        <v>11</v>
      </c>
      <c r="I51">
        <f t="shared" si="45"/>
        <v>0.44</v>
      </c>
      <c r="J51">
        <v>4</v>
      </c>
      <c r="L51">
        <v>9</v>
      </c>
      <c r="M51">
        <v>1.7969999999999999</v>
      </c>
      <c r="N51">
        <v>32.979999999999997</v>
      </c>
      <c r="O51">
        <f t="shared" si="41"/>
        <v>31.182999999999996</v>
      </c>
      <c r="P51">
        <v>26.405999999999999</v>
      </c>
      <c r="Q51">
        <f t="shared" si="42"/>
        <v>24.608999999999998</v>
      </c>
      <c r="R51">
        <f t="shared" si="46"/>
        <v>6.5739999999999981</v>
      </c>
      <c r="S51">
        <f t="shared" si="47"/>
        <v>21.081999807587465</v>
      </c>
      <c r="T51">
        <v>17</v>
      </c>
      <c r="U51">
        <v>28.977</v>
      </c>
      <c r="V51">
        <v>31.952100000000002</v>
      </c>
      <c r="W51">
        <f t="shared" si="48"/>
        <v>2.9751000000000012</v>
      </c>
      <c r="X51">
        <f t="shared" si="49"/>
        <v>2975.1000000000013</v>
      </c>
      <c r="Y51">
        <v>31.8309</v>
      </c>
      <c r="Z51">
        <f t="shared" si="50"/>
        <v>2.8538999999999994</v>
      </c>
      <c r="AA51">
        <f t="shared" si="43"/>
        <v>2853.8999999999996</v>
      </c>
      <c r="AB51">
        <f t="shared" si="51"/>
        <v>121.20000000000164</v>
      </c>
      <c r="AC51">
        <v>0.75469284577388129</v>
      </c>
      <c r="AD51">
        <f t="shared" si="44"/>
        <v>4.073812644953164</v>
      </c>
      <c r="AE51">
        <f t="shared" si="52"/>
        <v>3.8665725521831389</v>
      </c>
      <c r="AF51">
        <f t="shared" si="32"/>
        <v>2.9180746427982723E-2</v>
      </c>
      <c r="AG51" s="2">
        <f t="shared" si="35"/>
        <v>0.72951866069956806</v>
      </c>
      <c r="AH51">
        <v>15</v>
      </c>
      <c r="AI51">
        <f>AF51-AF52</f>
        <v>-7.7782007158120579E-3</v>
      </c>
      <c r="AJ51">
        <f t="shared" si="53"/>
        <v>-5.1854671438747056E-4</v>
      </c>
    </row>
    <row r="52" spans="1:37" x14ac:dyDescent="0.2">
      <c r="A52" t="s">
        <v>44</v>
      </c>
      <c r="B52">
        <v>2005</v>
      </c>
      <c r="C52">
        <f t="shared" si="36"/>
        <v>20</v>
      </c>
      <c r="D52">
        <v>1</v>
      </c>
      <c r="E52">
        <v>2</v>
      </c>
      <c r="F52" t="s">
        <v>40</v>
      </c>
      <c r="G52">
        <v>10</v>
      </c>
      <c r="H52">
        <v>10</v>
      </c>
      <c r="I52">
        <f t="shared" si="45"/>
        <v>1</v>
      </c>
      <c r="J52">
        <v>4</v>
      </c>
      <c r="L52">
        <v>10</v>
      </c>
      <c r="M52">
        <v>1.79</v>
      </c>
      <c r="N52">
        <v>32.427</v>
      </c>
      <c r="O52">
        <f t="shared" si="41"/>
        <v>30.637</v>
      </c>
      <c r="P52">
        <v>25.106000000000002</v>
      </c>
      <c r="Q52">
        <f t="shared" si="42"/>
        <v>23.316000000000003</v>
      </c>
      <c r="R52">
        <f t="shared" si="46"/>
        <v>7.320999999999998</v>
      </c>
      <c r="S52">
        <f t="shared" si="47"/>
        <v>23.895942814244208</v>
      </c>
      <c r="T52">
        <v>2</v>
      </c>
      <c r="U52">
        <v>26.6465</v>
      </c>
      <c r="V52">
        <v>29.8201</v>
      </c>
      <c r="W52">
        <f t="shared" si="48"/>
        <v>3.1736000000000004</v>
      </c>
      <c r="X52">
        <f t="shared" si="49"/>
        <v>3173.6000000000004</v>
      </c>
      <c r="Y52">
        <v>29.686599999999999</v>
      </c>
      <c r="Z52">
        <f t="shared" si="50"/>
        <v>3.0400999999999989</v>
      </c>
      <c r="AA52">
        <f t="shared" si="43"/>
        <v>3040.099999999999</v>
      </c>
      <c r="AB52">
        <f t="shared" si="51"/>
        <v>133.50000000000136</v>
      </c>
      <c r="AC52">
        <v>0.94418669989266912</v>
      </c>
      <c r="AD52">
        <f t="shared" si="44"/>
        <v>4.2065792790522227</v>
      </c>
      <c r="AE52">
        <f t="shared" si="52"/>
        <v>3.9143685404588</v>
      </c>
      <c r="AF52">
        <f t="shared" si="32"/>
        <v>3.6958947143794781E-2</v>
      </c>
      <c r="AG52" s="2">
        <f t="shared" si="35"/>
        <v>0.36958947143794779</v>
      </c>
      <c r="AH52">
        <v>10</v>
      </c>
      <c r="AI52">
        <f>AF52</f>
        <v>3.6958947143794781E-2</v>
      </c>
      <c r="AJ52">
        <f t="shared" si="53"/>
        <v>3.6958947143794782E-3</v>
      </c>
    </row>
    <row r="53" spans="1:37" x14ac:dyDescent="0.2">
      <c r="A53" t="s">
        <v>44</v>
      </c>
      <c r="B53">
        <v>2005</v>
      </c>
      <c r="C53">
        <f t="shared" si="36"/>
        <v>20</v>
      </c>
      <c r="D53">
        <v>1</v>
      </c>
      <c r="E53">
        <v>3</v>
      </c>
      <c r="F53" s="3" t="s">
        <v>41</v>
      </c>
      <c r="G53">
        <v>50</v>
      </c>
      <c r="H53">
        <v>17.2</v>
      </c>
      <c r="I53">
        <f t="shared" si="45"/>
        <v>0.34399999999999997</v>
      </c>
      <c r="J53">
        <v>4</v>
      </c>
      <c r="L53">
        <v>11</v>
      </c>
      <c r="M53">
        <v>1.823</v>
      </c>
      <c r="N53">
        <v>37.752000000000002</v>
      </c>
      <c r="O53">
        <f t="shared" si="41"/>
        <v>35.929000000000002</v>
      </c>
      <c r="P53">
        <v>29.843</v>
      </c>
      <c r="Q53">
        <f t="shared" si="42"/>
        <v>28.02</v>
      </c>
      <c r="R53">
        <f t="shared" si="46"/>
        <v>7.9090000000000025</v>
      </c>
      <c r="S53">
        <f t="shared" si="47"/>
        <v>22.012858693534476</v>
      </c>
      <c r="T53">
        <v>3</v>
      </c>
      <c r="U53">
        <v>28.9665</v>
      </c>
      <c r="V53">
        <v>31.523</v>
      </c>
      <c r="W53">
        <f t="shared" si="48"/>
        <v>2.5564999999999998</v>
      </c>
      <c r="X53">
        <f t="shared" si="49"/>
        <v>2556.5</v>
      </c>
      <c r="Y53">
        <v>31.42</v>
      </c>
      <c r="Z53">
        <f t="shared" si="50"/>
        <v>2.4535000000000018</v>
      </c>
      <c r="AA53">
        <f t="shared" si="43"/>
        <v>2453.5000000000018</v>
      </c>
      <c r="AB53">
        <f t="shared" si="51"/>
        <v>102.99999999999818</v>
      </c>
      <c r="AC53">
        <v>1.0202627626905951</v>
      </c>
      <c r="AD53">
        <f t="shared" si="44"/>
        <v>4.0289458243691838</v>
      </c>
      <c r="AE53">
        <f t="shared" si="52"/>
        <v>3.8504204967729061</v>
      </c>
      <c r="AF53">
        <f t="shared" si="32"/>
        <v>3.9284406535580192E-2</v>
      </c>
      <c r="AG53" s="2">
        <f t="shared" si="35"/>
        <v>1.9642203267790097</v>
      </c>
      <c r="AH53">
        <v>25</v>
      </c>
      <c r="AI53">
        <f>AF53-(AI54+AI55)</f>
        <v>9.7691686489137577E-3</v>
      </c>
      <c r="AJ53">
        <f t="shared" si="53"/>
        <v>3.9076674595655029E-4</v>
      </c>
    </row>
    <row r="54" spans="1:37" x14ac:dyDescent="0.2">
      <c r="A54" t="s">
        <v>44</v>
      </c>
      <c r="B54">
        <v>2005</v>
      </c>
      <c r="C54">
        <f t="shared" si="36"/>
        <v>20</v>
      </c>
      <c r="D54">
        <v>1</v>
      </c>
      <c r="E54">
        <v>3</v>
      </c>
      <c r="F54" t="s">
        <v>39</v>
      </c>
      <c r="G54">
        <v>25</v>
      </c>
      <c r="H54">
        <v>12.5</v>
      </c>
      <c r="I54">
        <f t="shared" si="45"/>
        <v>0.5</v>
      </c>
      <c r="J54">
        <v>4</v>
      </c>
      <c r="L54">
        <v>12</v>
      </c>
      <c r="M54">
        <v>1.8460000000000001</v>
      </c>
      <c r="N54">
        <v>35.722999999999999</v>
      </c>
      <c r="O54">
        <f t="shared" si="41"/>
        <v>33.876999999999995</v>
      </c>
      <c r="P54">
        <v>27.696000000000002</v>
      </c>
      <c r="Q54">
        <f t="shared" si="42"/>
        <v>25.85</v>
      </c>
      <c r="R54">
        <f t="shared" si="46"/>
        <v>8.0269999999999939</v>
      </c>
      <c r="S54">
        <f t="shared" si="47"/>
        <v>23.694542019659341</v>
      </c>
      <c r="T54">
        <v>11</v>
      </c>
      <c r="U54">
        <v>27.443899999999999</v>
      </c>
      <c r="V54">
        <v>30.679600000000001</v>
      </c>
      <c r="W54">
        <f t="shared" si="48"/>
        <v>3.2357000000000014</v>
      </c>
      <c r="X54">
        <f t="shared" si="49"/>
        <v>3235.7000000000012</v>
      </c>
      <c r="Y54">
        <v>30.543800000000001</v>
      </c>
      <c r="Z54">
        <f t="shared" si="50"/>
        <v>3.0999000000000017</v>
      </c>
      <c r="AA54">
        <f t="shared" si="43"/>
        <v>3099.9000000000015</v>
      </c>
      <c r="AB54">
        <f t="shared" si="51"/>
        <v>135.79999999999973</v>
      </c>
      <c r="AC54">
        <v>0.75469284577388129</v>
      </c>
      <c r="AD54">
        <f t="shared" si="44"/>
        <v>4.1969280217572607</v>
      </c>
      <c r="AE54">
        <f t="shared" si="52"/>
        <v>3.9108940878326139</v>
      </c>
      <c r="AF54">
        <f t="shared" ref="AF54:AF85" si="54">AC54*(AE54/100)</f>
        <v>2.9515237886666434E-2</v>
      </c>
      <c r="AG54" s="2">
        <f t="shared" si="35"/>
        <v>0.73788094716666086</v>
      </c>
      <c r="AH54">
        <v>15</v>
      </c>
      <c r="AI54">
        <f>AF54-AF55</f>
        <v>-6.1947157264514649E-3</v>
      </c>
      <c r="AJ54">
        <f t="shared" si="53"/>
        <v>-4.1298104843009764E-4</v>
      </c>
      <c r="AK54" t="s">
        <v>45</v>
      </c>
    </row>
    <row r="55" spans="1:37" x14ac:dyDescent="0.2">
      <c r="A55" t="s">
        <v>44</v>
      </c>
      <c r="B55">
        <v>2005</v>
      </c>
      <c r="C55">
        <f t="shared" si="36"/>
        <v>20</v>
      </c>
      <c r="D55">
        <v>1</v>
      </c>
      <c r="E55">
        <v>3</v>
      </c>
      <c r="F55" t="s">
        <v>40</v>
      </c>
      <c r="G55">
        <v>10</v>
      </c>
      <c r="H55">
        <v>9.5</v>
      </c>
      <c r="I55">
        <f t="shared" si="45"/>
        <v>0.95</v>
      </c>
      <c r="J55">
        <v>4</v>
      </c>
      <c r="L55">
        <v>13</v>
      </c>
      <c r="M55">
        <v>1.837</v>
      </c>
      <c r="N55">
        <v>32.470999999999997</v>
      </c>
      <c r="O55">
        <f t="shared" si="41"/>
        <v>30.633999999999997</v>
      </c>
      <c r="P55">
        <v>25.896000000000001</v>
      </c>
      <c r="Q55">
        <f t="shared" si="42"/>
        <v>24.059000000000001</v>
      </c>
      <c r="R55">
        <f t="shared" si="46"/>
        <v>6.5749999999999957</v>
      </c>
      <c r="S55">
        <f t="shared" si="47"/>
        <v>21.463080237644437</v>
      </c>
      <c r="T55">
        <v>10</v>
      </c>
      <c r="U55">
        <v>28.571300000000001</v>
      </c>
      <c r="V55">
        <v>31.910599999999999</v>
      </c>
      <c r="W55">
        <f t="shared" si="48"/>
        <v>3.3392999999999979</v>
      </c>
      <c r="X55">
        <f t="shared" si="49"/>
        <v>3339.2999999999979</v>
      </c>
      <c r="Y55">
        <v>31.782399999999999</v>
      </c>
      <c r="Z55">
        <f t="shared" si="50"/>
        <v>3.2110999999999983</v>
      </c>
      <c r="AA55">
        <f t="shared" si="43"/>
        <v>3211.0999999999981</v>
      </c>
      <c r="AB55">
        <f t="shared" si="51"/>
        <v>128.19999999999982</v>
      </c>
      <c r="AC55">
        <v>0.94418669989266912</v>
      </c>
      <c r="AD55">
        <f t="shared" si="44"/>
        <v>3.8391279609498965</v>
      </c>
      <c r="AE55">
        <f t="shared" si="52"/>
        <v>3.7820860659419626</v>
      </c>
      <c r="AF55">
        <f t="shared" si="54"/>
        <v>3.5709953613117899E-2</v>
      </c>
      <c r="AG55" s="2">
        <f t="shared" si="35"/>
        <v>0.35709953613117901</v>
      </c>
      <c r="AH55">
        <v>10</v>
      </c>
      <c r="AI55">
        <f>AF55</f>
        <v>3.5709953613117899E-2</v>
      </c>
      <c r="AJ55">
        <f t="shared" si="53"/>
        <v>3.5709953613117899E-3</v>
      </c>
    </row>
    <row r="56" spans="1:37" x14ac:dyDescent="0.2">
      <c r="A56" t="s">
        <v>44</v>
      </c>
      <c r="B56">
        <v>2005</v>
      </c>
      <c r="C56">
        <f t="shared" si="36"/>
        <v>20</v>
      </c>
      <c r="D56">
        <v>2</v>
      </c>
      <c r="E56">
        <v>1</v>
      </c>
      <c r="F56" s="3" t="s">
        <v>41</v>
      </c>
      <c r="G56">
        <v>50</v>
      </c>
      <c r="H56">
        <v>15.5</v>
      </c>
      <c r="I56">
        <f t="shared" si="45"/>
        <v>0.31</v>
      </c>
      <c r="J56">
        <v>4</v>
      </c>
      <c r="L56">
        <v>14</v>
      </c>
      <c r="M56">
        <v>1.8340000000000001</v>
      </c>
      <c r="N56">
        <v>33.982999999999997</v>
      </c>
      <c r="O56">
        <f t="shared" si="41"/>
        <v>32.148999999999994</v>
      </c>
      <c r="P56">
        <v>27.478999999999999</v>
      </c>
      <c r="Q56">
        <f t="shared" si="42"/>
        <v>25.645</v>
      </c>
      <c r="R56">
        <f t="shared" si="46"/>
        <v>6.5039999999999942</v>
      </c>
      <c r="S56">
        <f t="shared" si="47"/>
        <v>20.230800335935783</v>
      </c>
      <c r="T56">
        <v>18</v>
      </c>
      <c r="U56">
        <v>27.354700000000001</v>
      </c>
      <c r="V56">
        <v>30.313199999999998</v>
      </c>
      <c r="W56">
        <f t="shared" si="48"/>
        <v>2.9584999999999972</v>
      </c>
      <c r="X56">
        <f t="shared" si="49"/>
        <v>2958.4999999999973</v>
      </c>
      <c r="Y56">
        <v>30.1936</v>
      </c>
      <c r="Z56">
        <f t="shared" si="50"/>
        <v>2.8388999999999989</v>
      </c>
      <c r="AA56">
        <f t="shared" si="43"/>
        <v>2838.8999999999987</v>
      </c>
      <c r="AB56">
        <f t="shared" si="51"/>
        <v>119.59999999999854</v>
      </c>
      <c r="AC56">
        <v>1.0202627626905951</v>
      </c>
      <c r="AD56">
        <f t="shared" si="44"/>
        <v>4.0425891499070019</v>
      </c>
      <c r="AE56">
        <f t="shared" si="52"/>
        <v>3.8553320939665205</v>
      </c>
      <c r="AF56">
        <f t="shared" si="54"/>
        <v>3.9334517732799994E-2</v>
      </c>
      <c r="AG56" s="2">
        <f t="shared" si="35"/>
        <v>1.9667258866399997</v>
      </c>
      <c r="AH56">
        <v>25</v>
      </c>
      <c r="AI56">
        <f>AF56-(AI57+AI58)</f>
        <v>8.7607804159527125E-3</v>
      </c>
      <c r="AJ56">
        <f t="shared" si="53"/>
        <v>3.504312166381085E-4</v>
      </c>
    </row>
    <row r="57" spans="1:37" x14ac:dyDescent="0.2">
      <c r="A57" t="s">
        <v>44</v>
      </c>
      <c r="B57">
        <v>2005</v>
      </c>
      <c r="C57">
        <f t="shared" si="36"/>
        <v>20</v>
      </c>
      <c r="D57">
        <v>2</v>
      </c>
      <c r="E57">
        <v>1</v>
      </c>
      <c r="F57" t="s">
        <v>39</v>
      </c>
      <c r="G57">
        <v>25</v>
      </c>
      <c r="H57">
        <v>15.5</v>
      </c>
      <c r="I57">
        <f t="shared" si="45"/>
        <v>0.62</v>
      </c>
      <c r="J57">
        <v>4</v>
      </c>
      <c r="L57">
        <v>15</v>
      </c>
      <c r="M57">
        <v>1.8480000000000001</v>
      </c>
      <c r="N57">
        <v>35.012</v>
      </c>
      <c r="O57">
        <f t="shared" si="41"/>
        <v>33.164000000000001</v>
      </c>
      <c r="P57">
        <v>27.056000000000001</v>
      </c>
      <c r="Q57">
        <f t="shared" si="42"/>
        <v>25.208000000000002</v>
      </c>
      <c r="R57">
        <f t="shared" si="46"/>
        <v>7.9559999999999995</v>
      </c>
      <c r="S57">
        <f t="shared" si="47"/>
        <v>23.989868532143284</v>
      </c>
      <c r="T57">
        <v>6</v>
      </c>
      <c r="U57">
        <v>30.165400000000002</v>
      </c>
      <c r="V57">
        <v>33.3748</v>
      </c>
      <c r="W57">
        <f t="shared" si="48"/>
        <v>3.2093999999999987</v>
      </c>
      <c r="X57">
        <f t="shared" si="49"/>
        <v>3209.3999999999987</v>
      </c>
      <c r="Y57">
        <v>33.227600000000002</v>
      </c>
      <c r="Z57">
        <f t="shared" si="50"/>
        <v>3.0622000000000007</v>
      </c>
      <c r="AA57">
        <f t="shared" si="43"/>
        <v>3062.2000000000007</v>
      </c>
      <c r="AB57">
        <f t="shared" si="51"/>
        <v>147.199999999998</v>
      </c>
      <c r="AC57">
        <v>0.75469284577388129</v>
      </c>
      <c r="AD57">
        <f t="shared" si="44"/>
        <v>4.5865270767120974</v>
      </c>
      <c r="AE57">
        <f t="shared" si="52"/>
        <v>4.0511497476163552</v>
      </c>
      <c r="AF57">
        <f t="shared" si="54"/>
        <v>3.0573737316847281E-2</v>
      </c>
      <c r="AG57" s="2">
        <f t="shared" si="35"/>
        <v>0.76434343292118201</v>
      </c>
      <c r="AH57">
        <v>15</v>
      </c>
      <c r="AI57">
        <f>AF57-AF58</f>
        <v>-5.7928765930118434E-3</v>
      </c>
      <c r="AJ57">
        <f t="shared" si="53"/>
        <v>-3.8619177286745621E-4</v>
      </c>
    </row>
    <row r="58" spans="1:37" x14ac:dyDescent="0.2">
      <c r="A58" t="s">
        <v>44</v>
      </c>
      <c r="B58">
        <v>2005</v>
      </c>
      <c r="C58">
        <f t="shared" si="36"/>
        <v>20</v>
      </c>
      <c r="D58">
        <v>2</v>
      </c>
      <c r="E58">
        <v>1</v>
      </c>
      <c r="F58" t="s">
        <v>40</v>
      </c>
      <c r="G58">
        <v>10</v>
      </c>
      <c r="H58">
        <v>5</v>
      </c>
      <c r="I58">
        <f t="shared" si="45"/>
        <v>0.5</v>
      </c>
      <c r="J58">
        <v>4</v>
      </c>
      <c r="L58">
        <v>16</v>
      </c>
      <c r="M58">
        <v>1.8160000000000001</v>
      </c>
      <c r="N58">
        <v>32.570999999999998</v>
      </c>
      <c r="O58">
        <f t="shared" si="41"/>
        <v>30.754999999999999</v>
      </c>
      <c r="P58">
        <v>26.47</v>
      </c>
      <c r="Q58">
        <f t="shared" si="42"/>
        <v>24.654</v>
      </c>
      <c r="R58">
        <f t="shared" si="46"/>
        <v>6.1009999999999991</v>
      </c>
      <c r="S58">
        <f t="shared" si="47"/>
        <v>19.837424808974149</v>
      </c>
      <c r="T58">
        <v>19</v>
      </c>
      <c r="U58">
        <v>28.572700000000001</v>
      </c>
      <c r="V58">
        <v>32.744</v>
      </c>
      <c r="W58">
        <f t="shared" si="48"/>
        <v>4.1712999999999987</v>
      </c>
      <c r="X58">
        <f t="shared" si="49"/>
        <v>4171.2999999999984</v>
      </c>
      <c r="Y58">
        <v>32.575800000000001</v>
      </c>
      <c r="Z58">
        <f t="shared" si="50"/>
        <v>4.0030999999999999</v>
      </c>
      <c r="AA58">
        <f t="shared" si="43"/>
        <v>4003.1</v>
      </c>
      <c r="AB58">
        <f t="shared" si="51"/>
        <v>168.19999999999845</v>
      </c>
      <c r="AC58">
        <v>0.94418669989266912</v>
      </c>
      <c r="AD58">
        <f t="shared" si="44"/>
        <v>4.0323160645362002</v>
      </c>
      <c r="AE58">
        <f t="shared" si="52"/>
        <v>3.8516337832330318</v>
      </c>
      <c r="AF58">
        <f t="shared" si="54"/>
        <v>3.6366613909859125E-2</v>
      </c>
      <c r="AG58" s="2">
        <f t="shared" si="35"/>
        <v>0.36366613909859125</v>
      </c>
      <c r="AH58">
        <v>10</v>
      </c>
      <c r="AI58">
        <f>AF58</f>
        <v>3.6366613909859125E-2</v>
      </c>
      <c r="AJ58">
        <f t="shared" si="53"/>
        <v>3.6366613909859123E-3</v>
      </c>
      <c r="AK58" t="s">
        <v>46</v>
      </c>
    </row>
    <row r="59" spans="1:37" x14ac:dyDescent="0.2">
      <c r="A59" t="s">
        <v>44</v>
      </c>
      <c r="B59">
        <v>2005</v>
      </c>
      <c r="C59">
        <f t="shared" si="36"/>
        <v>20</v>
      </c>
      <c r="D59">
        <v>2</v>
      </c>
      <c r="E59">
        <v>2</v>
      </c>
      <c r="F59" s="3" t="s">
        <v>41</v>
      </c>
      <c r="G59">
        <v>50</v>
      </c>
      <c r="H59">
        <v>17.5</v>
      </c>
      <c r="I59">
        <f t="shared" si="45"/>
        <v>0.35</v>
      </c>
      <c r="J59">
        <v>4</v>
      </c>
      <c r="L59">
        <v>17</v>
      </c>
      <c r="M59">
        <v>1.823</v>
      </c>
      <c r="N59">
        <v>34.020000000000003</v>
      </c>
      <c r="O59">
        <f t="shared" si="41"/>
        <v>32.197000000000003</v>
      </c>
      <c r="P59">
        <v>26.945</v>
      </c>
      <c r="Q59">
        <f t="shared" si="42"/>
        <v>25.122</v>
      </c>
      <c r="R59">
        <f t="shared" si="46"/>
        <v>7.0750000000000028</v>
      </c>
      <c r="S59">
        <f t="shared" si="47"/>
        <v>21.974096965555802</v>
      </c>
      <c r="T59">
        <v>15</v>
      </c>
      <c r="U59">
        <v>27.838000000000001</v>
      </c>
      <c r="V59">
        <v>31.654900000000001</v>
      </c>
      <c r="W59">
        <f t="shared" si="48"/>
        <v>3.8169000000000004</v>
      </c>
      <c r="X59">
        <f t="shared" si="49"/>
        <v>3816.9000000000005</v>
      </c>
      <c r="Y59">
        <v>31.476600000000001</v>
      </c>
      <c r="Z59">
        <f t="shared" si="50"/>
        <v>3.6386000000000003</v>
      </c>
      <c r="AA59">
        <f t="shared" si="43"/>
        <v>3638.6000000000004</v>
      </c>
      <c r="AB59">
        <f t="shared" si="51"/>
        <v>178.30000000000018</v>
      </c>
      <c r="AC59">
        <v>1.0202627626905951</v>
      </c>
      <c r="AD59">
        <f t="shared" si="44"/>
        <v>4.6713301370221947</v>
      </c>
      <c r="AE59">
        <f t="shared" si="52"/>
        <v>4.0816788493279894</v>
      </c>
      <c r="AF59">
        <f t="shared" si="54"/>
        <v>4.1643849392311437E-2</v>
      </c>
      <c r="AG59" s="2">
        <f t="shared" si="35"/>
        <v>2.0821924696155718</v>
      </c>
      <c r="AH59">
        <v>25</v>
      </c>
      <c r="AI59">
        <f>AF59-(AI60+AI61)</f>
        <v>1.2266959731001531E-2</v>
      </c>
      <c r="AJ59">
        <f t="shared" si="53"/>
        <v>4.9067838924006122E-4</v>
      </c>
    </row>
    <row r="60" spans="1:37" x14ac:dyDescent="0.2">
      <c r="A60" t="s">
        <v>44</v>
      </c>
      <c r="B60">
        <v>2005</v>
      </c>
      <c r="C60">
        <f t="shared" si="36"/>
        <v>20</v>
      </c>
      <c r="D60">
        <v>2</v>
      </c>
      <c r="E60">
        <v>2</v>
      </c>
      <c r="F60" t="s">
        <v>39</v>
      </c>
      <c r="G60">
        <v>25</v>
      </c>
      <c r="H60">
        <v>16</v>
      </c>
      <c r="I60">
        <f t="shared" si="45"/>
        <v>0.64</v>
      </c>
      <c r="J60">
        <v>4</v>
      </c>
      <c r="L60">
        <v>18</v>
      </c>
      <c r="M60">
        <v>1.8320000000000001</v>
      </c>
      <c r="N60">
        <v>33.478999999999999</v>
      </c>
      <c r="O60">
        <f t="shared" si="41"/>
        <v>31.646999999999998</v>
      </c>
      <c r="P60">
        <v>25.85</v>
      </c>
      <c r="Q60">
        <f t="shared" si="42"/>
        <v>24.018000000000001</v>
      </c>
      <c r="R60">
        <f t="shared" si="46"/>
        <v>7.6289999999999978</v>
      </c>
      <c r="S60">
        <f t="shared" si="47"/>
        <v>24.106550383922638</v>
      </c>
      <c r="T60">
        <v>21</v>
      </c>
      <c r="U60">
        <v>31.08</v>
      </c>
      <c r="V60">
        <v>33.701799999999999</v>
      </c>
      <c r="W60">
        <f t="shared" si="48"/>
        <v>2.6218000000000004</v>
      </c>
      <c r="X60">
        <f t="shared" si="49"/>
        <v>2621.8</v>
      </c>
      <c r="Y60">
        <v>33.5931</v>
      </c>
      <c r="Z60">
        <f t="shared" si="50"/>
        <v>2.5131000000000014</v>
      </c>
      <c r="AA60">
        <f t="shared" si="43"/>
        <v>2513.1000000000013</v>
      </c>
      <c r="AB60">
        <f t="shared" si="51"/>
        <v>108.69999999999891</v>
      </c>
      <c r="AC60">
        <v>0.75469284577388129</v>
      </c>
      <c r="AD60">
        <f t="shared" si="44"/>
        <v>4.146006560378324</v>
      </c>
      <c r="AE60">
        <f t="shared" si="52"/>
        <v>3.8925623617361964</v>
      </c>
      <c r="AF60">
        <f t="shared" si="54"/>
        <v>2.9376889661309906E-2</v>
      </c>
      <c r="AG60" s="2">
        <f t="shared" si="35"/>
        <v>0.7344222415327476</v>
      </c>
      <c r="AH60">
        <v>15</v>
      </c>
      <c r="AI60">
        <f>AF60-AF61</f>
        <v>-6.9304234379083882E-3</v>
      </c>
      <c r="AJ60">
        <f t="shared" si="53"/>
        <v>-4.6202822919389256E-4</v>
      </c>
    </row>
    <row r="61" spans="1:37" x14ac:dyDescent="0.2">
      <c r="A61" t="s">
        <v>44</v>
      </c>
      <c r="B61">
        <v>2005</v>
      </c>
      <c r="C61">
        <f t="shared" si="36"/>
        <v>20</v>
      </c>
      <c r="D61">
        <v>2</v>
      </c>
      <c r="E61">
        <v>2</v>
      </c>
      <c r="F61" t="s">
        <v>40</v>
      </c>
      <c r="G61">
        <v>10</v>
      </c>
      <c r="H61">
        <v>9</v>
      </c>
      <c r="I61">
        <f t="shared" si="45"/>
        <v>0.9</v>
      </c>
      <c r="J61">
        <v>5.2</v>
      </c>
      <c r="L61">
        <v>19</v>
      </c>
      <c r="M61">
        <v>1.83</v>
      </c>
      <c r="N61">
        <v>33.994</v>
      </c>
      <c r="O61">
        <f t="shared" si="41"/>
        <v>32.164000000000001</v>
      </c>
      <c r="P61">
        <v>27.936</v>
      </c>
      <c r="Q61">
        <f t="shared" si="42"/>
        <v>26.106000000000002</v>
      </c>
      <c r="R61">
        <f t="shared" si="46"/>
        <v>6.0579999999999998</v>
      </c>
      <c r="S61">
        <f t="shared" si="47"/>
        <v>18.834722049496332</v>
      </c>
      <c r="T61">
        <v>5</v>
      </c>
      <c r="U61">
        <v>22.166899999999998</v>
      </c>
      <c r="V61">
        <v>26.739899999999999</v>
      </c>
      <c r="W61">
        <f t="shared" si="48"/>
        <v>4.5730000000000004</v>
      </c>
      <c r="X61">
        <f t="shared" si="49"/>
        <v>4573</v>
      </c>
      <c r="Y61">
        <v>26.5563</v>
      </c>
      <c r="Z61">
        <f t="shared" si="50"/>
        <v>4.389400000000002</v>
      </c>
      <c r="AA61">
        <f t="shared" si="43"/>
        <v>4389.4000000000024</v>
      </c>
      <c r="AB61">
        <f t="shared" si="51"/>
        <v>183.59999999999764</v>
      </c>
      <c r="AC61">
        <v>0.94418669989266912</v>
      </c>
      <c r="AD61">
        <f t="shared" si="44"/>
        <v>4.0148698884757845</v>
      </c>
      <c r="AE61">
        <f t="shared" si="52"/>
        <v>3.8453531598512822</v>
      </c>
      <c r="AF61">
        <f t="shared" si="54"/>
        <v>3.6307313099218294E-2</v>
      </c>
      <c r="AG61" s="2">
        <f t="shared" ref="AG61:AG92" si="55">AF61*G61</f>
        <v>0.36307313099218297</v>
      </c>
      <c r="AH61">
        <v>10</v>
      </c>
      <c r="AI61">
        <f>AF61</f>
        <v>3.6307313099218294E-2</v>
      </c>
      <c r="AJ61">
        <f t="shared" si="53"/>
        <v>3.6307313099218294E-3</v>
      </c>
      <c r="AK61" t="s">
        <v>47</v>
      </c>
    </row>
    <row r="62" spans="1:37" x14ac:dyDescent="0.2">
      <c r="A62" t="s">
        <v>44</v>
      </c>
      <c r="B62">
        <v>2005</v>
      </c>
      <c r="C62">
        <f t="shared" si="36"/>
        <v>20</v>
      </c>
      <c r="D62">
        <v>2</v>
      </c>
      <c r="E62">
        <v>3</v>
      </c>
      <c r="F62" t="s">
        <v>41</v>
      </c>
      <c r="G62">
        <v>50</v>
      </c>
      <c r="H62">
        <v>19.3</v>
      </c>
      <c r="I62">
        <f t="shared" si="45"/>
        <v>0.38600000000000001</v>
      </c>
      <c r="J62">
        <v>4</v>
      </c>
      <c r="K62">
        <v>24.861999999999998</v>
      </c>
      <c r="L62">
        <v>20</v>
      </c>
      <c r="M62">
        <v>1.835</v>
      </c>
      <c r="N62">
        <v>33.909999999999997</v>
      </c>
      <c r="O62">
        <f t="shared" si="41"/>
        <v>32.074999999999996</v>
      </c>
      <c r="P62">
        <v>24.818999999999999</v>
      </c>
      <c r="Q62">
        <f t="shared" si="42"/>
        <v>22.983999999999998</v>
      </c>
      <c r="R62">
        <f t="shared" si="46"/>
        <v>9.0909999999999975</v>
      </c>
      <c r="S62">
        <f t="shared" si="47"/>
        <v>28.342946219797344</v>
      </c>
      <c r="T62">
        <v>1</v>
      </c>
      <c r="U62">
        <v>27.9679</v>
      </c>
      <c r="V62">
        <v>31.0623</v>
      </c>
      <c r="W62">
        <f t="shared" si="48"/>
        <v>3.0944000000000003</v>
      </c>
      <c r="X62">
        <f t="shared" si="49"/>
        <v>3094.4</v>
      </c>
      <c r="Y62">
        <v>30.893799999999999</v>
      </c>
      <c r="Z62">
        <f t="shared" si="50"/>
        <v>2.9258999999999986</v>
      </c>
      <c r="AA62">
        <f t="shared" si="43"/>
        <v>2925.8999999999987</v>
      </c>
      <c r="AB62">
        <f t="shared" si="51"/>
        <v>168.50000000000136</v>
      </c>
      <c r="AC62">
        <v>1.0202627626905951</v>
      </c>
      <c r="AD62">
        <f t="shared" si="44"/>
        <v>5.4453205791106951</v>
      </c>
      <c r="AE62">
        <f t="shared" si="52"/>
        <v>4.3603154084798499</v>
      </c>
      <c r="AF62">
        <f t="shared" si="54"/>
        <v>4.4486674448580225E-2</v>
      </c>
      <c r="AG62" s="2">
        <f t="shared" si="55"/>
        <v>2.2243337224290114</v>
      </c>
      <c r="AH62">
        <v>25</v>
      </c>
      <c r="AI62">
        <f>AF62-(AI63+AI64)</f>
        <v>1.0802382539654862E-2</v>
      </c>
      <c r="AJ62">
        <f t="shared" si="53"/>
        <v>4.3209530158619446E-4</v>
      </c>
    </row>
    <row r="63" spans="1:37" x14ac:dyDescent="0.2">
      <c r="A63" t="s">
        <v>44</v>
      </c>
      <c r="B63">
        <v>2005</v>
      </c>
      <c r="C63">
        <f t="shared" si="36"/>
        <v>20</v>
      </c>
      <c r="D63">
        <v>2</v>
      </c>
      <c r="E63">
        <v>3</v>
      </c>
      <c r="F63" t="s">
        <v>39</v>
      </c>
      <c r="G63">
        <v>25</v>
      </c>
      <c r="H63">
        <v>11.7</v>
      </c>
      <c r="I63">
        <f t="shared" si="45"/>
        <v>0.46799999999999997</v>
      </c>
      <c r="J63">
        <v>4</v>
      </c>
      <c r="L63">
        <v>21</v>
      </c>
      <c r="M63">
        <v>1.851</v>
      </c>
      <c r="N63">
        <v>31.852</v>
      </c>
      <c r="O63">
        <f t="shared" si="41"/>
        <v>30.001000000000001</v>
      </c>
      <c r="P63">
        <v>24.648</v>
      </c>
      <c r="Q63">
        <f t="shared" si="42"/>
        <v>22.797000000000001</v>
      </c>
      <c r="R63">
        <f t="shared" si="46"/>
        <v>7.2040000000000006</v>
      </c>
      <c r="S63">
        <f t="shared" si="47"/>
        <v>24.01253291556948</v>
      </c>
      <c r="T63">
        <v>14</v>
      </c>
      <c r="U63">
        <v>27.799800000000001</v>
      </c>
      <c r="V63">
        <v>30.734500000000001</v>
      </c>
      <c r="W63">
        <f t="shared" si="48"/>
        <v>2.9346999999999994</v>
      </c>
      <c r="X63">
        <f t="shared" si="49"/>
        <v>2934.6999999999994</v>
      </c>
      <c r="Y63">
        <v>30.566299999999998</v>
      </c>
      <c r="Z63">
        <f t="shared" si="50"/>
        <v>2.7664999999999971</v>
      </c>
      <c r="AA63">
        <f t="shared" si="43"/>
        <v>2766.4999999999973</v>
      </c>
      <c r="AB63">
        <f t="shared" si="51"/>
        <v>168.20000000000209</v>
      </c>
      <c r="AC63">
        <v>0.75469284577388129</v>
      </c>
      <c r="AD63">
        <f t="shared" si="44"/>
        <v>5.7314205881351459</v>
      </c>
      <c r="AE63">
        <f t="shared" si="52"/>
        <v>4.4633114117286521</v>
      </c>
      <c r="AF63">
        <f t="shared" si="54"/>
        <v>3.3684291908925364E-2</v>
      </c>
      <c r="AG63" s="2">
        <f t="shared" si="55"/>
        <v>0.84210729772313409</v>
      </c>
      <c r="AH63">
        <v>15</v>
      </c>
      <c r="AI63">
        <f t="shared" ref="AI63" si="56">AF63-AF64</f>
        <v>-7.4684176739272037E-3</v>
      </c>
      <c r="AJ63">
        <f t="shared" si="53"/>
        <v>-4.9789451159514692E-4</v>
      </c>
    </row>
    <row r="64" spans="1:37" x14ac:dyDescent="0.2">
      <c r="A64" t="s">
        <v>44</v>
      </c>
      <c r="B64">
        <v>2005</v>
      </c>
      <c r="C64">
        <f t="shared" si="36"/>
        <v>20</v>
      </c>
      <c r="D64">
        <v>2</v>
      </c>
      <c r="E64">
        <v>3</v>
      </c>
      <c r="F64" t="s">
        <v>40</v>
      </c>
      <c r="G64">
        <v>10</v>
      </c>
      <c r="H64">
        <v>9.5</v>
      </c>
      <c r="I64">
        <f t="shared" si="45"/>
        <v>0.95</v>
      </c>
      <c r="J64">
        <v>4</v>
      </c>
      <c r="L64">
        <v>22</v>
      </c>
      <c r="M64">
        <v>1.83</v>
      </c>
      <c r="N64">
        <v>33.115000000000002</v>
      </c>
      <c r="O64">
        <f t="shared" si="41"/>
        <v>31.285000000000004</v>
      </c>
      <c r="P64">
        <v>25.527000000000001</v>
      </c>
      <c r="Q64">
        <f t="shared" si="42"/>
        <v>23.697000000000003</v>
      </c>
      <c r="R64">
        <f t="shared" si="46"/>
        <v>7.588000000000001</v>
      </c>
      <c r="S64">
        <f t="shared" si="47"/>
        <v>24.254435032763304</v>
      </c>
      <c r="T64">
        <v>8</v>
      </c>
      <c r="U64">
        <v>27.346</v>
      </c>
      <c r="V64">
        <v>30.6693</v>
      </c>
      <c r="W64">
        <f t="shared" si="48"/>
        <v>3.3232999999999997</v>
      </c>
      <c r="X64">
        <f t="shared" si="49"/>
        <v>3323.2999999999997</v>
      </c>
      <c r="Y64">
        <v>30.488499999999998</v>
      </c>
      <c r="Z64">
        <f t="shared" si="50"/>
        <v>3.1424999999999983</v>
      </c>
      <c r="AA64">
        <f t="shared" si="43"/>
        <v>3142.4999999999982</v>
      </c>
      <c r="AB64">
        <f t="shared" si="51"/>
        <v>180.80000000000155</v>
      </c>
      <c r="AC64">
        <v>0.94418669989266912</v>
      </c>
      <c r="AD64">
        <f t="shared" si="44"/>
        <v>5.4403755303463894</v>
      </c>
      <c r="AE64">
        <f t="shared" si="52"/>
        <v>4.3585351909246999</v>
      </c>
      <c r="AF64">
        <f t="shared" si="54"/>
        <v>4.1152709582852567E-2</v>
      </c>
      <c r="AG64" s="2">
        <f t="shared" si="55"/>
        <v>0.41152709582852565</v>
      </c>
      <c r="AH64">
        <v>10</v>
      </c>
      <c r="AI64">
        <f t="shared" ref="AI64:AI82" si="57">AF64</f>
        <v>4.1152709582852567E-2</v>
      </c>
      <c r="AJ64">
        <f t="shared" si="53"/>
        <v>4.1152709582852566E-3</v>
      </c>
    </row>
    <row r="65" spans="1:37" x14ac:dyDescent="0.2">
      <c r="A65" t="s">
        <v>44</v>
      </c>
      <c r="B65">
        <v>2023</v>
      </c>
      <c r="C65">
        <f t="shared" si="36"/>
        <v>2</v>
      </c>
      <c r="D65">
        <v>3</v>
      </c>
      <c r="E65">
        <v>1</v>
      </c>
      <c r="F65" t="s">
        <v>41</v>
      </c>
      <c r="G65">
        <v>50</v>
      </c>
      <c r="H65">
        <v>14</v>
      </c>
      <c r="I65">
        <f t="shared" si="45"/>
        <v>0.28000000000000003</v>
      </c>
      <c r="J65">
        <v>4</v>
      </c>
      <c r="L65">
        <v>24</v>
      </c>
      <c r="M65">
        <v>1.8380000000000001</v>
      </c>
      <c r="N65">
        <v>34.206000000000003</v>
      </c>
      <c r="O65">
        <f t="shared" si="41"/>
        <v>32.368000000000002</v>
      </c>
      <c r="P65">
        <v>24.452000000000002</v>
      </c>
      <c r="Q65">
        <f t="shared" si="42"/>
        <v>22.614000000000001</v>
      </c>
      <c r="R65">
        <f>O65-Q65</f>
        <v>9.7540000000000013</v>
      </c>
      <c r="S65">
        <f>((O65-Q65)/O65)*100</f>
        <v>30.13470093919921</v>
      </c>
      <c r="T65">
        <v>3</v>
      </c>
      <c r="U65">
        <v>28.966699999999999</v>
      </c>
      <c r="V65">
        <v>31.771799999999999</v>
      </c>
      <c r="W65">
        <f>V65-U65</f>
        <v>2.8050999999999995</v>
      </c>
      <c r="X65">
        <f>W65*1000</f>
        <v>2805.0999999999995</v>
      </c>
      <c r="Y65">
        <v>31.621600000000001</v>
      </c>
      <c r="Z65">
        <f>Y65-U65</f>
        <v>2.6549000000000014</v>
      </c>
      <c r="AA65">
        <f>Z65*1000</f>
        <v>2654.9000000000015</v>
      </c>
      <c r="AB65">
        <f>X65-AA65</f>
        <v>150.199999999998</v>
      </c>
      <c r="AC65">
        <v>1.0202627626905951</v>
      </c>
      <c r="AD65">
        <f t="shared" si="44"/>
        <v>5.3545328152293337</v>
      </c>
      <c r="AE65">
        <f t="shared" si="52"/>
        <v>4.3276318134825598</v>
      </c>
      <c r="AF65">
        <f t="shared" si="54"/>
        <v>4.4153215899314265E-2</v>
      </c>
      <c r="AG65" s="2">
        <f t="shared" si="55"/>
        <v>2.2076607949657134</v>
      </c>
      <c r="AH65">
        <v>25</v>
      </c>
      <c r="AI65">
        <f t="shared" si="57"/>
        <v>4.4153215899314265E-2</v>
      </c>
      <c r="AJ65">
        <f t="shared" si="53"/>
        <v>1.7661286359725707E-3</v>
      </c>
    </row>
    <row r="66" spans="1:37" x14ac:dyDescent="0.2">
      <c r="A66" t="s">
        <v>44</v>
      </c>
      <c r="B66">
        <v>2023</v>
      </c>
      <c r="C66">
        <f t="shared" si="36"/>
        <v>2</v>
      </c>
      <c r="D66">
        <v>3</v>
      </c>
      <c r="E66">
        <v>1</v>
      </c>
      <c r="F66" t="s">
        <v>39</v>
      </c>
      <c r="G66">
        <v>25</v>
      </c>
      <c r="H66">
        <v>15.4</v>
      </c>
      <c r="I66">
        <f t="shared" si="45"/>
        <v>0.61599999999999999</v>
      </c>
      <c r="J66">
        <v>4</v>
      </c>
      <c r="L66">
        <v>23</v>
      </c>
      <c r="M66">
        <v>1.8240000000000001</v>
      </c>
      <c r="N66">
        <v>32.247</v>
      </c>
      <c r="O66">
        <f t="shared" si="41"/>
        <v>30.422999999999998</v>
      </c>
      <c r="P66">
        <v>23.81</v>
      </c>
      <c r="Q66">
        <f t="shared" si="42"/>
        <v>21.985999999999997</v>
      </c>
      <c r="R66">
        <f t="shared" si="46"/>
        <v>8.4370000000000012</v>
      </c>
      <c r="S66">
        <f t="shared" si="47"/>
        <v>27.732307793445756</v>
      </c>
      <c r="T66">
        <v>11</v>
      </c>
      <c r="U66">
        <v>27.441600000000001</v>
      </c>
      <c r="V66">
        <v>31.2515</v>
      </c>
      <c r="W66">
        <f t="shared" si="48"/>
        <v>3.809899999999999</v>
      </c>
      <c r="X66">
        <f t="shared" si="49"/>
        <v>3809.8999999999987</v>
      </c>
      <c r="Y66">
        <v>31.083400000000001</v>
      </c>
      <c r="Z66">
        <f t="shared" si="50"/>
        <v>3.6417999999999999</v>
      </c>
      <c r="AA66">
        <f t="shared" si="43"/>
        <v>3641.7999999999997</v>
      </c>
      <c r="AB66">
        <f t="shared" si="51"/>
        <v>168.099999999999</v>
      </c>
      <c r="AC66">
        <v>0.75469284577388129</v>
      </c>
      <c r="AD66">
        <f t="shared" si="44"/>
        <v>4.4121892963069644</v>
      </c>
      <c r="AE66">
        <f t="shared" si="52"/>
        <v>3.9883881466705073</v>
      </c>
      <c r="AF66">
        <f t="shared" si="54"/>
        <v>3.0100080004615816E-2</v>
      </c>
      <c r="AG66" s="2">
        <f t="shared" si="55"/>
        <v>0.75250200011539536</v>
      </c>
      <c r="AH66">
        <v>15</v>
      </c>
      <c r="AI66">
        <f t="shared" si="57"/>
        <v>3.0100080004615816E-2</v>
      </c>
      <c r="AJ66">
        <f t="shared" si="53"/>
        <v>2.006672000307721E-3</v>
      </c>
    </row>
    <row r="67" spans="1:37" x14ac:dyDescent="0.2">
      <c r="A67" t="s">
        <v>44</v>
      </c>
      <c r="B67">
        <v>2023</v>
      </c>
      <c r="C67">
        <f t="shared" si="36"/>
        <v>2</v>
      </c>
      <c r="D67">
        <v>3</v>
      </c>
      <c r="E67">
        <v>1</v>
      </c>
      <c r="F67" t="s">
        <v>40</v>
      </c>
      <c r="G67">
        <v>10</v>
      </c>
      <c r="H67">
        <v>10</v>
      </c>
      <c r="I67">
        <f t="shared" si="45"/>
        <v>1</v>
      </c>
      <c r="J67">
        <v>5.2</v>
      </c>
      <c r="L67">
        <v>25</v>
      </c>
      <c r="M67">
        <v>1.829</v>
      </c>
      <c r="N67">
        <v>34.110999999999997</v>
      </c>
      <c r="O67">
        <f t="shared" si="41"/>
        <v>32.281999999999996</v>
      </c>
      <c r="P67">
        <v>24.652999999999999</v>
      </c>
      <c r="Q67">
        <f t="shared" si="42"/>
        <v>22.823999999999998</v>
      </c>
      <c r="R67">
        <f t="shared" si="46"/>
        <v>9.4579999999999984</v>
      </c>
      <c r="S67">
        <f t="shared" si="47"/>
        <v>29.298060838857566</v>
      </c>
      <c r="T67">
        <v>10</v>
      </c>
      <c r="U67">
        <v>28.569900000000001</v>
      </c>
      <c r="V67">
        <v>32.132399999999997</v>
      </c>
      <c r="W67">
        <f t="shared" si="48"/>
        <v>3.5624999999999964</v>
      </c>
      <c r="X67">
        <f t="shared" si="49"/>
        <v>3562.4999999999964</v>
      </c>
      <c r="Y67">
        <v>31.986000000000001</v>
      </c>
      <c r="Z67">
        <f t="shared" si="50"/>
        <v>3.4161000000000001</v>
      </c>
      <c r="AA67">
        <f t="shared" si="43"/>
        <v>3416.1000000000004</v>
      </c>
      <c r="AB67">
        <f t="shared" si="51"/>
        <v>146.399999999996</v>
      </c>
      <c r="AC67">
        <v>0.94418669989266912</v>
      </c>
      <c r="AD67">
        <f t="shared" si="44"/>
        <v>4.1094736842104185</v>
      </c>
      <c r="AE67">
        <f t="shared" si="52"/>
        <v>3.8794105263157506</v>
      </c>
      <c r="AF67">
        <f t="shared" si="54"/>
        <v>3.6628878223709513E-2</v>
      </c>
      <c r="AG67" s="2">
        <f t="shared" si="55"/>
        <v>0.36628878223709516</v>
      </c>
      <c r="AH67">
        <v>10</v>
      </c>
      <c r="AI67">
        <f t="shared" si="57"/>
        <v>3.6628878223709513E-2</v>
      </c>
      <c r="AJ67">
        <f t="shared" si="53"/>
        <v>3.6628878223709514E-3</v>
      </c>
    </row>
    <row r="68" spans="1:37" x14ac:dyDescent="0.2">
      <c r="A68" t="s">
        <v>44</v>
      </c>
      <c r="B68">
        <v>2023</v>
      </c>
      <c r="C68">
        <f t="shared" si="36"/>
        <v>2</v>
      </c>
      <c r="D68">
        <v>3</v>
      </c>
      <c r="E68">
        <v>2</v>
      </c>
      <c r="F68" t="s">
        <v>41</v>
      </c>
      <c r="G68">
        <v>50</v>
      </c>
      <c r="H68">
        <v>14.5</v>
      </c>
      <c r="I68">
        <f t="shared" si="45"/>
        <v>0.28999999999999998</v>
      </c>
      <c r="J68">
        <v>4</v>
      </c>
      <c r="L68">
        <v>26</v>
      </c>
      <c r="M68">
        <v>1.8169999999999999</v>
      </c>
      <c r="N68">
        <v>35.280999999999999</v>
      </c>
      <c r="O68">
        <f t="shared" si="41"/>
        <v>33.463999999999999</v>
      </c>
      <c r="P68">
        <v>24.481000000000002</v>
      </c>
      <c r="Q68">
        <f t="shared" si="42"/>
        <v>22.664000000000001</v>
      </c>
      <c r="R68">
        <f t="shared" si="46"/>
        <v>10.799999999999997</v>
      </c>
      <c r="S68">
        <f t="shared" si="47"/>
        <v>32.273487927324879</v>
      </c>
      <c r="T68">
        <v>16</v>
      </c>
      <c r="U68">
        <v>28.4529</v>
      </c>
      <c r="V68">
        <v>30.911899999999999</v>
      </c>
      <c r="W68">
        <f t="shared" si="48"/>
        <v>2.4589999999999996</v>
      </c>
      <c r="X68">
        <f t="shared" si="49"/>
        <v>2458.9999999999995</v>
      </c>
      <c r="Y68">
        <v>30.782</v>
      </c>
      <c r="Z68">
        <f t="shared" si="50"/>
        <v>2.3291000000000004</v>
      </c>
      <c r="AA68">
        <f t="shared" si="43"/>
        <v>2329.1000000000004</v>
      </c>
      <c r="AB68">
        <f t="shared" si="51"/>
        <v>129.89999999999918</v>
      </c>
      <c r="AC68">
        <v>1.0202627626905951</v>
      </c>
      <c r="AD68">
        <f t="shared" si="44"/>
        <v>5.2826352175680844</v>
      </c>
      <c r="AE68">
        <f t="shared" si="52"/>
        <v>4.3017486783245102</v>
      </c>
      <c r="AF68">
        <f t="shared" si="54"/>
        <v>4.3889139909479812E-2</v>
      </c>
      <c r="AG68" s="2">
        <f t="shared" si="55"/>
        <v>2.1944569954739905</v>
      </c>
      <c r="AH68">
        <v>25</v>
      </c>
      <c r="AI68">
        <f t="shared" si="57"/>
        <v>4.3889139909479812E-2</v>
      </c>
      <c r="AJ68">
        <f t="shared" si="53"/>
        <v>1.7555655963791925E-3</v>
      </c>
    </row>
    <row r="69" spans="1:37" x14ac:dyDescent="0.2">
      <c r="A69" t="s">
        <v>44</v>
      </c>
      <c r="B69">
        <v>2023</v>
      </c>
      <c r="C69">
        <f t="shared" si="36"/>
        <v>2</v>
      </c>
      <c r="D69">
        <v>3</v>
      </c>
      <c r="E69">
        <v>2</v>
      </c>
      <c r="F69" t="s">
        <v>39</v>
      </c>
      <c r="G69">
        <v>25</v>
      </c>
      <c r="H69">
        <v>10.5</v>
      </c>
      <c r="I69">
        <f t="shared" si="45"/>
        <v>0.42</v>
      </c>
      <c r="J69">
        <v>4</v>
      </c>
      <c r="L69">
        <v>27</v>
      </c>
      <c r="M69">
        <v>1.839</v>
      </c>
      <c r="N69">
        <v>36.270000000000003</v>
      </c>
      <c r="O69">
        <f t="shared" si="41"/>
        <v>34.431000000000004</v>
      </c>
      <c r="P69">
        <v>25.981000000000002</v>
      </c>
      <c r="Q69">
        <f t="shared" si="42"/>
        <v>24.142000000000003</v>
      </c>
      <c r="R69">
        <f t="shared" si="46"/>
        <v>10.289000000000001</v>
      </c>
      <c r="S69">
        <f t="shared" si="47"/>
        <v>29.882954314425952</v>
      </c>
      <c r="T69">
        <v>20</v>
      </c>
      <c r="U69">
        <v>28.529499999999999</v>
      </c>
      <c r="V69">
        <v>31.598400000000002</v>
      </c>
      <c r="W69">
        <f t="shared" si="48"/>
        <v>3.0689000000000028</v>
      </c>
      <c r="X69">
        <f t="shared" si="49"/>
        <v>3068.9000000000028</v>
      </c>
      <c r="Y69">
        <v>31.446300000000001</v>
      </c>
      <c r="Z69">
        <f t="shared" si="50"/>
        <v>2.9168000000000021</v>
      </c>
      <c r="AA69">
        <f t="shared" si="43"/>
        <v>2916.800000000002</v>
      </c>
      <c r="AB69">
        <f t="shared" si="51"/>
        <v>152.10000000000082</v>
      </c>
      <c r="AC69">
        <v>0.75469284577388129</v>
      </c>
      <c r="AD69">
        <f t="shared" si="44"/>
        <v>4.9561732216755408</v>
      </c>
      <c r="AE69">
        <f t="shared" si="52"/>
        <v>4.1842223598031945</v>
      </c>
      <c r="AF69">
        <f t="shared" si="54"/>
        <v>3.1578026800705775E-2</v>
      </c>
      <c r="AG69" s="2">
        <f t="shared" si="55"/>
        <v>0.78945067001764435</v>
      </c>
      <c r="AH69">
        <v>15</v>
      </c>
      <c r="AI69">
        <f t="shared" si="57"/>
        <v>3.1578026800705775E-2</v>
      </c>
      <c r="AJ69">
        <f t="shared" si="53"/>
        <v>2.1052017867137182E-3</v>
      </c>
    </row>
    <row r="70" spans="1:37" x14ac:dyDescent="0.2">
      <c r="A70" t="s">
        <v>44</v>
      </c>
      <c r="B70">
        <v>2023</v>
      </c>
      <c r="C70">
        <f t="shared" si="36"/>
        <v>2</v>
      </c>
      <c r="D70">
        <v>3</v>
      </c>
      <c r="E70">
        <v>2</v>
      </c>
      <c r="F70" t="s">
        <v>40</v>
      </c>
      <c r="G70">
        <v>10</v>
      </c>
      <c r="H70">
        <v>7.5</v>
      </c>
      <c r="I70">
        <f t="shared" si="45"/>
        <v>0.75</v>
      </c>
      <c r="J70">
        <v>4</v>
      </c>
      <c r="L70">
        <v>28</v>
      </c>
      <c r="M70">
        <v>1.84</v>
      </c>
      <c r="N70">
        <v>32.054000000000002</v>
      </c>
      <c r="O70">
        <f t="shared" si="41"/>
        <v>30.214000000000002</v>
      </c>
      <c r="P70">
        <v>22.687999999999999</v>
      </c>
      <c r="Q70">
        <f t="shared" si="42"/>
        <v>20.847999999999999</v>
      </c>
      <c r="R70">
        <f t="shared" si="46"/>
        <v>9.3660000000000032</v>
      </c>
      <c r="S70">
        <f t="shared" si="47"/>
        <v>30.998874693850542</v>
      </c>
      <c r="T70">
        <v>15</v>
      </c>
      <c r="U70">
        <v>27.837800000000001</v>
      </c>
      <c r="V70">
        <v>31.334299999999999</v>
      </c>
      <c r="W70">
        <f t="shared" si="48"/>
        <v>3.4964999999999975</v>
      </c>
      <c r="X70">
        <f t="shared" si="49"/>
        <v>3496.4999999999973</v>
      </c>
      <c r="Y70">
        <v>31.177199999999999</v>
      </c>
      <c r="Z70">
        <f t="shared" si="50"/>
        <v>3.3393999999999977</v>
      </c>
      <c r="AA70">
        <f t="shared" si="43"/>
        <v>3339.3999999999978</v>
      </c>
      <c r="AB70">
        <f t="shared" si="51"/>
        <v>157.09999999999945</v>
      </c>
      <c r="AC70">
        <v>0.94418669989266912</v>
      </c>
      <c r="AD70">
        <f t="shared" si="44"/>
        <v>4.4930644930644812</v>
      </c>
      <c r="AE70">
        <f t="shared" si="52"/>
        <v>4.0175032175032133</v>
      </c>
      <c r="AF70">
        <f t="shared" si="54"/>
        <v>3.7932731047425394E-2</v>
      </c>
      <c r="AG70" s="2">
        <f t="shared" si="55"/>
        <v>0.37932731047425394</v>
      </c>
      <c r="AH70">
        <v>10</v>
      </c>
      <c r="AI70">
        <f t="shared" si="57"/>
        <v>3.7932731047425394E-2</v>
      </c>
      <c r="AJ70">
        <f t="shared" si="53"/>
        <v>3.7932731047425395E-3</v>
      </c>
    </row>
    <row r="71" spans="1:37" x14ac:dyDescent="0.2">
      <c r="A71" t="s">
        <v>44</v>
      </c>
      <c r="B71">
        <v>2023</v>
      </c>
      <c r="C71">
        <f t="shared" si="36"/>
        <v>2</v>
      </c>
      <c r="D71">
        <v>3</v>
      </c>
      <c r="E71">
        <v>3</v>
      </c>
      <c r="F71" t="s">
        <v>41</v>
      </c>
      <c r="G71">
        <v>50</v>
      </c>
      <c r="H71">
        <v>20.2</v>
      </c>
      <c r="I71">
        <f t="shared" si="45"/>
        <v>0.40399999999999997</v>
      </c>
      <c r="J71">
        <v>4</v>
      </c>
      <c r="L71">
        <v>29</v>
      </c>
      <c r="M71">
        <v>1.83</v>
      </c>
      <c r="N71">
        <v>33.47</v>
      </c>
      <c r="O71">
        <f t="shared" si="41"/>
        <v>31.64</v>
      </c>
      <c r="P71">
        <v>25.891999999999999</v>
      </c>
      <c r="Q71">
        <f t="shared" si="42"/>
        <v>24.061999999999998</v>
      </c>
      <c r="R71">
        <f t="shared" si="46"/>
        <v>7.578000000000003</v>
      </c>
      <c r="S71">
        <f t="shared" si="47"/>
        <v>23.950695322376745</v>
      </c>
      <c r="T71">
        <v>17</v>
      </c>
      <c r="U71">
        <v>28.976900000000001</v>
      </c>
      <c r="V71">
        <v>32.813400000000001</v>
      </c>
      <c r="W71">
        <f t="shared" si="48"/>
        <v>3.8365000000000009</v>
      </c>
      <c r="X71">
        <f t="shared" si="49"/>
        <v>3836.5000000000009</v>
      </c>
      <c r="Y71">
        <v>32.641500000000001</v>
      </c>
      <c r="Z71">
        <f t="shared" si="50"/>
        <v>3.6646000000000001</v>
      </c>
      <c r="AA71">
        <f t="shared" si="43"/>
        <v>3664.6</v>
      </c>
      <c r="AB71">
        <f t="shared" si="51"/>
        <v>171.900000000001</v>
      </c>
      <c r="AC71">
        <v>1.0202627626905951</v>
      </c>
      <c r="AD71">
        <f t="shared" si="44"/>
        <v>4.480646422520552</v>
      </c>
      <c r="AE71">
        <f t="shared" si="52"/>
        <v>4.0130327121073988</v>
      </c>
      <c r="AF71">
        <f t="shared" si="54"/>
        <v>4.0943478416224262E-2</v>
      </c>
      <c r="AG71" s="2">
        <f t="shared" si="55"/>
        <v>2.047173920811213</v>
      </c>
      <c r="AH71">
        <v>25</v>
      </c>
      <c r="AI71">
        <f t="shared" si="57"/>
        <v>4.0943478416224262E-2</v>
      </c>
      <c r="AJ71">
        <f t="shared" si="53"/>
        <v>1.6377391366489704E-3</v>
      </c>
    </row>
    <row r="72" spans="1:37" x14ac:dyDescent="0.2">
      <c r="A72" t="s">
        <v>44</v>
      </c>
      <c r="B72">
        <v>2023</v>
      </c>
      <c r="C72">
        <f t="shared" si="36"/>
        <v>2</v>
      </c>
      <c r="D72">
        <v>3</v>
      </c>
      <c r="E72">
        <v>3</v>
      </c>
      <c r="F72" t="s">
        <v>39</v>
      </c>
      <c r="G72">
        <v>25</v>
      </c>
      <c r="H72">
        <v>19</v>
      </c>
      <c r="I72">
        <f t="shared" si="45"/>
        <v>0.76</v>
      </c>
      <c r="J72">
        <v>4</v>
      </c>
      <c r="L72">
        <v>30</v>
      </c>
      <c r="M72">
        <v>1.851</v>
      </c>
      <c r="N72">
        <v>33.716999999999999</v>
      </c>
      <c r="O72">
        <f t="shared" si="41"/>
        <v>31.866</v>
      </c>
      <c r="P72">
        <v>26.134</v>
      </c>
      <c r="Q72">
        <f t="shared" si="42"/>
        <v>24.283000000000001</v>
      </c>
      <c r="R72">
        <f t="shared" si="46"/>
        <v>7.5829999999999984</v>
      </c>
      <c r="S72">
        <f t="shared" si="47"/>
        <v>23.796522939810451</v>
      </c>
      <c r="T72">
        <v>7</v>
      </c>
      <c r="U72">
        <v>27.2575</v>
      </c>
      <c r="V72">
        <v>30.534199999999998</v>
      </c>
      <c r="W72">
        <f t="shared" si="48"/>
        <v>3.2766999999999982</v>
      </c>
      <c r="X72">
        <f t="shared" si="49"/>
        <v>3276.699999999998</v>
      </c>
      <c r="Y72">
        <v>30.399000000000001</v>
      </c>
      <c r="Z72">
        <f t="shared" si="50"/>
        <v>3.1415000000000006</v>
      </c>
      <c r="AA72">
        <f t="shared" si="43"/>
        <v>3141.5000000000005</v>
      </c>
      <c r="AB72">
        <f t="shared" si="51"/>
        <v>135.19999999999754</v>
      </c>
      <c r="AC72">
        <v>0.75469284577388129</v>
      </c>
      <c r="AD72">
        <f t="shared" si="44"/>
        <v>4.1261024811547484</v>
      </c>
      <c r="AE72">
        <f t="shared" si="52"/>
        <v>3.8853968932157095</v>
      </c>
      <c r="AF72">
        <f t="shared" si="54"/>
        <v>2.9322812383019613E-2</v>
      </c>
      <c r="AG72" s="2">
        <f t="shared" si="55"/>
        <v>0.73307030957549035</v>
      </c>
      <c r="AH72">
        <v>15</v>
      </c>
      <c r="AI72">
        <f t="shared" si="57"/>
        <v>2.9322812383019613E-2</v>
      </c>
      <c r="AJ72">
        <f t="shared" si="53"/>
        <v>1.9548541588679741E-3</v>
      </c>
    </row>
    <row r="73" spans="1:37" x14ac:dyDescent="0.2">
      <c r="A73" t="s">
        <v>44</v>
      </c>
      <c r="B73">
        <v>2023</v>
      </c>
      <c r="C73">
        <f t="shared" si="36"/>
        <v>2</v>
      </c>
      <c r="D73">
        <v>3</v>
      </c>
      <c r="E73">
        <v>3</v>
      </c>
      <c r="F73" t="s">
        <v>40</v>
      </c>
      <c r="G73">
        <v>10</v>
      </c>
      <c r="H73">
        <v>10</v>
      </c>
      <c r="I73">
        <f t="shared" si="45"/>
        <v>1</v>
      </c>
      <c r="J73">
        <v>5.2</v>
      </c>
      <c r="L73">
        <v>31</v>
      </c>
      <c r="M73">
        <v>1.835</v>
      </c>
      <c r="N73">
        <v>36.220999999999997</v>
      </c>
      <c r="O73">
        <f t="shared" si="41"/>
        <v>34.385999999999996</v>
      </c>
      <c r="P73">
        <v>28.172999999999998</v>
      </c>
      <c r="Q73">
        <f t="shared" si="42"/>
        <v>26.337999999999997</v>
      </c>
      <c r="R73">
        <f t="shared" si="46"/>
        <v>8.0479999999999983</v>
      </c>
      <c r="S73">
        <f t="shared" si="47"/>
        <v>23.404874076659105</v>
      </c>
      <c r="T73">
        <v>13</v>
      </c>
      <c r="U73">
        <v>22.1968</v>
      </c>
      <c r="V73">
        <v>25.859100000000002</v>
      </c>
      <c r="W73">
        <f t="shared" si="48"/>
        <v>3.6623000000000019</v>
      </c>
      <c r="X73">
        <f t="shared" si="49"/>
        <v>3662.300000000002</v>
      </c>
      <c r="Y73">
        <v>25.706399999999999</v>
      </c>
      <c r="Z73">
        <f t="shared" si="50"/>
        <v>3.5095999999999989</v>
      </c>
      <c r="AA73">
        <f t="shared" si="43"/>
        <v>3509.599999999999</v>
      </c>
      <c r="AB73">
        <f t="shared" si="51"/>
        <v>152.700000000003</v>
      </c>
      <c r="AC73">
        <v>0.94418669989266912</v>
      </c>
      <c r="AD73">
        <f t="shared" si="44"/>
        <v>4.1695109630560827</v>
      </c>
      <c r="AE73">
        <f t="shared" si="52"/>
        <v>3.9010239467001897</v>
      </c>
      <c r="AF73">
        <f t="shared" si="54"/>
        <v>3.6832949264371279E-2</v>
      </c>
      <c r="AG73" s="2">
        <f t="shared" si="55"/>
        <v>0.36832949264371279</v>
      </c>
      <c r="AH73">
        <v>10</v>
      </c>
      <c r="AI73">
        <f t="shared" si="57"/>
        <v>3.6832949264371279E-2</v>
      </c>
      <c r="AJ73">
        <f t="shared" si="53"/>
        <v>3.6832949264371277E-3</v>
      </c>
    </row>
    <row r="74" spans="1:37" x14ac:dyDescent="0.2">
      <c r="A74" t="s">
        <v>44</v>
      </c>
      <c r="B74">
        <v>2023</v>
      </c>
      <c r="C74">
        <f t="shared" si="36"/>
        <v>2</v>
      </c>
      <c r="D74">
        <v>4</v>
      </c>
      <c r="E74">
        <v>1</v>
      </c>
      <c r="F74" t="s">
        <v>41</v>
      </c>
      <c r="G74">
        <v>50</v>
      </c>
      <c r="H74">
        <v>23.5</v>
      </c>
      <c r="I74">
        <f t="shared" si="45"/>
        <v>0.47</v>
      </c>
      <c r="J74">
        <v>4</v>
      </c>
      <c r="L74">
        <v>32</v>
      </c>
      <c r="M74">
        <v>1.855</v>
      </c>
      <c r="N74">
        <v>32.082000000000001</v>
      </c>
      <c r="O74">
        <f t="shared" si="41"/>
        <v>30.227</v>
      </c>
      <c r="P74">
        <v>23.902000000000001</v>
      </c>
      <c r="Q74">
        <f t="shared" si="42"/>
        <v>22.047000000000001</v>
      </c>
      <c r="R74">
        <f t="shared" si="46"/>
        <v>8.18</v>
      </c>
      <c r="S74">
        <f t="shared" si="47"/>
        <v>27.061898302841829</v>
      </c>
      <c r="T74">
        <v>2</v>
      </c>
      <c r="U74">
        <v>26.6463</v>
      </c>
      <c r="V74">
        <v>29.828900000000001</v>
      </c>
      <c r="W74">
        <f t="shared" si="48"/>
        <v>3.1826000000000008</v>
      </c>
      <c r="X74">
        <f t="shared" si="49"/>
        <v>3182.6000000000008</v>
      </c>
      <c r="Y74">
        <v>29.690899999999999</v>
      </c>
      <c r="Z74">
        <f t="shared" si="50"/>
        <v>3.0445999999999991</v>
      </c>
      <c r="AA74">
        <f t="shared" si="43"/>
        <v>3044.599999999999</v>
      </c>
      <c r="AB74">
        <f t="shared" si="51"/>
        <v>138.00000000000182</v>
      </c>
      <c r="AC74">
        <v>1.0202627626905951</v>
      </c>
      <c r="AD74">
        <f t="shared" si="44"/>
        <v>4.3360774209766157</v>
      </c>
      <c r="AE74">
        <f t="shared" si="52"/>
        <v>3.9609878715515814</v>
      </c>
      <c r="AF74">
        <f t="shared" si="54"/>
        <v>4.0412484288131566E-2</v>
      </c>
      <c r="AG74" s="2">
        <f t="shared" si="55"/>
        <v>2.0206242144065785</v>
      </c>
      <c r="AH74">
        <v>25</v>
      </c>
      <c r="AI74">
        <f t="shared" si="57"/>
        <v>4.0412484288131566E-2</v>
      </c>
      <c r="AJ74">
        <f t="shared" si="53"/>
        <v>1.6164993715252626E-3</v>
      </c>
    </row>
    <row r="75" spans="1:37" x14ac:dyDescent="0.2">
      <c r="A75" t="s">
        <v>44</v>
      </c>
      <c r="B75">
        <v>2023</v>
      </c>
      <c r="C75">
        <f t="shared" si="36"/>
        <v>2</v>
      </c>
      <c r="D75">
        <v>4</v>
      </c>
      <c r="E75">
        <v>1</v>
      </c>
      <c r="F75" t="s">
        <v>39</v>
      </c>
      <c r="G75">
        <v>25</v>
      </c>
      <c r="H75">
        <v>14</v>
      </c>
      <c r="I75">
        <f t="shared" si="45"/>
        <v>0.56000000000000005</v>
      </c>
      <c r="J75">
        <v>4</v>
      </c>
      <c r="L75">
        <v>33</v>
      </c>
      <c r="M75">
        <v>1.82</v>
      </c>
      <c r="N75">
        <v>35.091999999999999</v>
      </c>
      <c r="O75">
        <f t="shared" si="41"/>
        <v>33.271999999999998</v>
      </c>
      <c r="P75">
        <v>25.937999999999999</v>
      </c>
      <c r="Q75">
        <f t="shared" si="42"/>
        <v>24.117999999999999</v>
      </c>
      <c r="R75">
        <f t="shared" si="46"/>
        <v>9.1539999999999999</v>
      </c>
      <c r="S75">
        <f t="shared" si="47"/>
        <v>27.512623226737198</v>
      </c>
      <c r="T75">
        <v>21</v>
      </c>
      <c r="U75">
        <v>31.08</v>
      </c>
      <c r="V75">
        <v>33.904600000000002</v>
      </c>
      <c r="W75">
        <f t="shared" si="48"/>
        <v>2.8246000000000038</v>
      </c>
      <c r="X75">
        <f t="shared" si="49"/>
        <v>2824.600000000004</v>
      </c>
      <c r="Y75">
        <v>33.773000000000003</v>
      </c>
      <c r="Z75">
        <f t="shared" si="50"/>
        <v>2.6930000000000049</v>
      </c>
      <c r="AA75">
        <f t="shared" si="43"/>
        <v>2693.000000000005</v>
      </c>
      <c r="AB75">
        <f t="shared" si="51"/>
        <v>131.599999999999</v>
      </c>
      <c r="AC75">
        <v>0.75469284577388129</v>
      </c>
      <c r="AD75">
        <f t="shared" si="44"/>
        <v>4.6590667705161373</v>
      </c>
      <c r="AE75">
        <f t="shared" si="52"/>
        <v>4.0772640373858096</v>
      </c>
      <c r="AF75">
        <f t="shared" si="54"/>
        <v>3.0770819993462015E-2</v>
      </c>
      <c r="AG75" s="2">
        <f t="shared" si="55"/>
        <v>0.76927049983655038</v>
      </c>
      <c r="AH75">
        <v>15</v>
      </c>
      <c r="AI75">
        <f t="shared" si="57"/>
        <v>3.0770819993462015E-2</v>
      </c>
      <c r="AJ75">
        <f t="shared" si="53"/>
        <v>2.0513879995641342E-3</v>
      </c>
    </row>
    <row r="76" spans="1:37" x14ac:dyDescent="0.2">
      <c r="A76" t="s">
        <v>44</v>
      </c>
      <c r="B76">
        <v>2023</v>
      </c>
      <c r="C76">
        <f t="shared" si="36"/>
        <v>2</v>
      </c>
      <c r="D76">
        <v>4</v>
      </c>
      <c r="E76">
        <v>1</v>
      </c>
      <c r="F76" t="s">
        <v>40</v>
      </c>
      <c r="G76">
        <v>10</v>
      </c>
      <c r="H76">
        <v>9.5</v>
      </c>
      <c r="I76">
        <f t="shared" si="45"/>
        <v>0.95</v>
      </c>
      <c r="J76">
        <v>4</v>
      </c>
      <c r="L76">
        <v>34</v>
      </c>
      <c r="M76">
        <v>1.841</v>
      </c>
      <c r="N76">
        <v>30.939</v>
      </c>
      <c r="O76">
        <f t="shared" si="41"/>
        <v>29.097999999999999</v>
      </c>
      <c r="P76">
        <v>22.206</v>
      </c>
      <c r="Q76">
        <f t="shared" si="42"/>
        <v>20.364999999999998</v>
      </c>
      <c r="R76">
        <f t="shared" si="46"/>
        <v>8.7330000000000005</v>
      </c>
      <c r="S76">
        <f t="shared" si="47"/>
        <v>30.012371984328823</v>
      </c>
      <c r="T76">
        <v>19</v>
      </c>
      <c r="U76">
        <v>28.572099999999999</v>
      </c>
      <c r="V76">
        <v>31.862200000000001</v>
      </c>
      <c r="W76">
        <f t="shared" si="48"/>
        <v>3.2901000000000025</v>
      </c>
      <c r="X76">
        <f t="shared" si="49"/>
        <v>3290.1000000000026</v>
      </c>
      <c r="Y76">
        <v>31.681899999999999</v>
      </c>
      <c r="Z76">
        <f t="shared" si="50"/>
        <v>3.1097999999999999</v>
      </c>
      <c r="AA76">
        <f t="shared" si="43"/>
        <v>3109.7999999999997</v>
      </c>
      <c r="AB76">
        <f t="shared" si="51"/>
        <v>180.30000000000291</v>
      </c>
      <c r="AC76">
        <v>0.94418669989266912</v>
      </c>
      <c r="AD76">
        <f t="shared" si="44"/>
        <v>5.4800765934166975</v>
      </c>
      <c r="AE76">
        <f t="shared" si="52"/>
        <v>4.3728275736300111</v>
      </c>
      <c r="AF76">
        <f t="shared" si="54"/>
        <v>4.1287656359453875E-2</v>
      </c>
      <c r="AG76" s="2">
        <f t="shared" si="55"/>
        <v>0.41287656359453873</v>
      </c>
      <c r="AH76">
        <v>10</v>
      </c>
      <c r="AI76">
        <f t="shared" si="57"/>
        <v>4.1287656359453875E-2</v>
      </c>
      <c r="AJ76">
        <f t="shared" si="53"/>
        <v>4.1287656359453879E-3</v>
      </c>
    </row>
    <row r="77" spans="1:37" x14ac:dyDescent="0.2">
      <c r="A77" t="s">
        <v>44</v>
      </c>
      <c r="B77">
        <v>2023</v>
      </c>
      <c r="C77">
        <f t="shared" si="36"/>
        <v>2</v>
      </c>
      <c r="D77">
        <v>4</v>
      </c>
      <c r="E77">
        <v>2</v>
      </c>
      <c r="F77" t="s">
        <v>41</v>
      </c>
      <c r="G77">
        <v>50</v>
      </c>
      <c r="H77">
        <v>19</v>
      </c>
      <c r="I77">
        <f t="shared" si="45"/>
        <v>0.38</v>
      </c>
      <c r="J77">
        <v>4</v>
      </c>
      <c r="L77">
        <v>4</v>
      </c>
      <c r="M77">
        <v>1.85</v>
      </c>
      <c r="N77">
        <v>37.363999999999997</v>
      </c>
      <c r="O77">
        <f t="shared" si="41"/>
        <v>35.513999999999996</v>
      </c>
      <c r="P77">
        <v>28.161999999999999</v>
      </c>
      <c r="Q77">
        <f t="shared" si="42"/>
        <v>26.311999999999998</v>
      </c>
      <c r="R77">
        <f t="shared" si="46"/>
        <v>9.2019999999999982</v>
      </c>
      <c r="S77">
        <f t="shared" si="47"/>
        <v>25.9109083741623</v>
      </c>
      <c r="T77">
        <v>4</v>
      </c>
      <c r="U77">
        <v>27.7805</v>
      </c>
      <c r="V77">
        <v>31.3993</v>
      </c>
      <c r="W77">
        <f t="shared" si="48"/>
        <v>3.6188000000000002</v>
      </c>
      <c r="X77">
        <f t="shared" si="49"/>
        <v>3618.8</v>
      </c>
      <c r="Y77">
        <v>31.238</v>
      </c>
      <c r="Z77">
        <f t="shared" si="50"/>
        <v>3.4574999999999996</v>
      </c>
      <c r="AA77">
        <f t="shared" si="43"/>
        <v>3457.4999999999995</v>
      </c>
      <c r="AB77">
        <f t="shared" si="51"/>
        <v>161.30000000000064</v>
      </c>
      <c r="AC77">
        <v>1.0202627626905951</v>
      </c>
      <c r="AD77">
        <f t="shared" si="44"/>
        <v>4.4572786559080537</v>
      </c>
      <c r="AE77">
        <f t="shared" si="52"/>
        <v>4.0046203161268989</v>
      </c>
      <c r="AF77">
        <f t="shared" si="54"/>
        <v>4.0857649872585139E-2</v>
      </c>
      <c r="AG77" s="2">
        <f t="shared" si="55"/>
        <v>2.0428824936292571</v>
      </c>
      <c r="AH77">
        <v>25</v>
      </c>
      <c r="AI77">
        <f t="shared" si="57"/>
        <v>4.0857649872585139E-2</v>
      </c>
      <c r="AJ77">
        <f t="shared" si="53"/>
        <v>1.6343059949034055E-3</v>
      </c>
      <c r="AK77" t="s">
        <v>48</v>
      </c>
    </row>
    <row r="78" spans="1:37" x14ac:dyDescent="0.2">
      <c r="A78" t="s">
        <v>44</v>
      </c>
      <c r="B78">
        <v>2023</v>
      </c>
      <c r="C78">
        <f t="shared" si="36"/>
        <v>2</v>
      </c>
      <c r="D78">
        <v>4</v>
      </c>
      <c r="E78">
        <v>2</v>
      </c>
      <c r="F78" t="s">
        <v>39</v>
      </c>
      <c r="G78">
        <v>25</v>
      </c>
      <c r="H78">
        <v>17</v>
      </c>
      <c r="I78">
        <f t="shared" si="45"/>
        <v>0.68</v>
      </c>
      <c r="J78">
        <v>4</v>
      </c>
      <c r="K78">
        <v>25.632999999999999</v>
      </c>
      <c r="L78">
        <v>35</v>
      </c>
      <c r="M78">
        <v>1.827</v>
      </c>
      <c r="N78">
        <v>31.878</v>
      </c>
      <c r="O78">
        <f t="shared" si="41"/>
        <v>30.051000000000002</v>
      </c>
      <c r="P78">
        <v>25.617000000000001</v>
      </c>
      <c r="Q78">
        <f t="shared" si="42"/>
        <v>23.79</v>
      </c>
      <c r="R78">
        <f t="shared" si="46"/>
        <v>6.2610000000000028</v>
      </c>
      <c r="S78">
        <f t="shared" si="47"/>
        <v>20.83458121193971</v>
      </c>
      <c r="T78">
        <v>12</v>
      </c>
      <c r="U78">
        <v>29.422499999999999</v>
      </c>
      <c r="V78">
        <v>32.679400000000001</v>
      </c>
      <c r="W78">
        <f t="shared" si="48"/>
        <v>3.2569000000000017</v>
      </c>
      <c r="X78">
        <f t="shared" si="49"/>
        <v>3256.9000000000015</v>
      </c>
      <c r="Y78">
        <v>32.562399999999997</v>
      </c>
      <c r="Z78">
        <f t="shared" si="50"/>
        <v>3.1398999999999972</v>
      </c>
      <c r="AA78">
        <f t="shared" si="43"/>
        <v>3139.8999999999974</v>
      </c>
      <c r="AB78">
        <f t="shared" si="51"/>
        <v>117.00000000000409</v>
      </c>
      <c r="AC78">
        <v>0.75469284577388129</v>
      </c>
      <c r="AD78">
        <f t="shared" si="44"/>
        <v>3.5923731155394405</v>
      </c>
      <c r="AE78">
        <f t="shared" si="52"/>
        <v>3.6932543215941984</v>
      </c>
      <c r="AF78">
        <f t="shared" si="54"/>
        <v>2.787272614130611E-2</v>
      </c>
      <c r="AG78" s="2">
        <f t="shared" si="55"/>
        <v>0.69681815353265275</v>
      </c>
      <c r="AH78">
        <v>15</v>
      </c>
      <c r="AI78">
        <f t="shared" si="57"/>
        <v>2.787272614130611E-2</v>
      </c>
      <c r="AJ78">
        <f t="shared" si="53"/>
        <v>1.8581817427537407E-3</v>
      </c>
    </row>
    <row r="79" spans="1:37" x14ac:dyDescent="0.2">
      <c r="A79" t="s">
        <v>44</v>
      </c>
      <c r="B79">
        <v>2023</v>
      </c>
      <c r="C79">
        <f t="shared" si="36"/>
        <v>2</v>
      </c>
      <c r="D79">
        <v>4</v>
      </c>
      <c r="E79">
        <v>2</v>
      </c>
      <c r="F79" t="s">
        <v>40</v>
      </c>
      <c r="G79">
        <v>10</v>
      </c>
      <c r="H79">
        <v>9.5</v>
      </c>
      <c r="I79">
        <f t="shared" si="45"/>
        <v>0.95</v>
      </c>
      <c r="J79">
        <v>5.2</v>
      </c>
      <c r="L79">
        <v>36</v>
      </c>
      <c r="M79">
        <v>1.8460000000000001</v>
      </c>
      <c r="N79">
        <v>32.040999999999997</v>
      </c>
      <c r="O79">
        <f t="shared" si="41"/>
        <v>30.194999999999997</v>
      </c>
      <c r="P79">
        <v>25.934999999999999</v>
      </c>
      <c r="Q79">
        <f t="shared" si="42"/>
        <v>24.088999999999999</v>
      </c>
      <c r="R79">
        <f t="shared" si="46"/>
        <v>6.1059999999999981</v>
      </c>
      <c r="S79">
        <f t="shared" si="47"/>
        <v>20.221891041563168</v>
      </c>
      <c r="T79">
        <v>8</v>
      </c>
      <c r="U79">
        <v>27.3459</v>
      </c>
      <c r="V79">
        <v>30.949200000000001</v>
      </c>
      <c r="W79">
        <f t="shared" si="48"/>
        <v>3.6033000000000008</v>
      </c>
      <c r="X79">
        <f t="shared" si="49"/>
        <v>3603.3000000000006</v>
      </c>
      <c r="Y79">
        <v>30.819600000000001</v>
      </c>
      <c r="Z79">
        <f t="shared" si="50"/>
        <v>3.4737000000000009</v>
      </c>
      <c r="AA79">
        <f t="shared" si="43"/>
        <v>3473.7000000000007</v>
      </c>
      <c r="AB79">
        <f t="shared" si="51"/>
        <v>129.59999999999991</v>
      </c>
      <c r="AC79">
        <v>0.94418669989266912</v>
      </c>
      <c r="AD79">
        <f t="shared" ref="AD79:AD108" si="58">((X79-AA79)/X79)*100</f>
        <v>3.5967030222296201</v>
      </c>
      <c r="AE79">
        <f t="shared" si="52"/>
        <v>3.6948130880026628</v>
      </c>
      <c r="AF79">
        <f t="shared" si="54"/>
        <v>3.4885933762814764E-2</v>
      </c>
      <c r="AG79" s="2">
        <f t="shared" si="55"/>
        <v>0.34885933762814764</v>
      </c>
      <c r="AH79">
        <v>10</v>
      </c>
      <c r="AI79">
        <f t="shared" si="57"/>
        <v>3.4885933762814764E-2</v>
      </c>
      <c r="AJ79">
        <f t="shared" si="53"/>
        <v>3.4885933762814764E-3</v>
      </c>
    </row>
    <row r="80" spans="1:37" x14ac:dyDescent="0.2">
      <c r="A80" t="s">
        <v>44</v>
      </c>
      <c r="B80">
        <v>2023</v>
      </c>
      <c r="C80">
        <f t="shared" si="36"/>
        <v>2</v>
      </c>
      <c r="D80">
        <v>4</v>
      </c>
      <c r="E80">
        <v>3</v>
      </c>
      <c r="F80" t="s">
        <v>41</v>
      </c>
      <c r="G80">
        <v>50</v>
      </c>
      <c r="H80">
        <v>25.5</v>
      </c>
      <c r="I80">
        <f t="shared" si="45"/>
        <v>0.51</v>
      </c>
      <c r="J80">
        <v>4</v>
      </c>
      <c r="K80">
        <v>23.553000000000001</v>
      </c>
      <c r="L80">
        <v>37</v>
      </c>
      <c r="M80">
        <v>1.839</v>
      </c>
      <c r="N80">
        <v>31.936</v>
      </c>
      <c r="O80">
        <f t="shared" si="41"/>
        <v>30.097000000000001</v>
      </c>
      <c r="P80">
        <v>23.542000000000002</v>
      </c>
      <c r="Q80">
        <f t="shared" si="42"/>
        <v>21.703000000000003</v>
      </c>
      <c r="R80">
        <f t="shared" si="46"/>
        <v>8.3939999999999984</v>
      </c>
      <c r="S80">
        <f t="shared" si="47"/>
        <v>27.889822905937461</v>
      </c>
      <c r="T80">
        <v>5</v>
      </c>
      <c r="U80">
        <v>22.167000000000002</v>
      </c>
      <c r="V80">
        <v>24.884899999999998</v>
      </c>
      <c r="W80">
        <f t="shared" si="48"/>
        <v>2.7178999999999967</v>
      </c>
      <c r="X80">
        <f t="shared" si="49"/>
        <v>2717.8999999999965</v>
      </c>
      <c r="Y80">
        <v>24.738700000000001</v>
      </c>
      <c r="Z80">
        <f t="shared" si="50"/>
        <v>2.5716999999999999</v>
      </c>
      <c r="AA80">
        <f t="shared" si="43"/>
        <v>2571.6999999999998</v>
      </c>
      <c r="AB80">
        <f t="shared" si="51"/>
        <v>146.19999999999663</v>
      </c>
      <c r="AC80">
        <v>1.0202627626905951</v>
      </c>
      <c r="AD80">
        <f t="shared" si="58"/>
        <v>5.3791530225540614</v>
      </c>
      <c r="AE80">
        <f t="shared" si="52"/>
        <v>4.3364950881194622</v>
      </c>
      <c r="AF80">
        <f t="shared" si="54"/>
        <v>4.4243644589989584E-2</v>
      </c>
      <c r="AG80" s="2">
        <f t="shared" si="55"/>
        <v>2.2121822294994793</v>
      </c>
      <c r="AH80">
        <v>25</v>
      </c>
      <c r="AI80">
        <f t="shared" si="57"/>
        <v>4.4243644589989584E-2</v>
      </c>
      <c r="AJ80">
        <f t="shared" si="53"/>
        <v>1.7697457835995833E-3</v>
      </c>
    </row>
    <row r="81" spans="1:37" x14ac:dyDescent="0.2">
      <c r="A81" t="s">
        <v>44</v>
      </c>
      <c r="B81">
        <v>2023</v>
      </c>
      <c r="C81">
        <f t="shared" si="36"/>
        <v>2</v>
      </c>
      <c r="D81">
        <v>4</v>
      </c>
      <c r="E81">
        <v>3</v>
      </c>
      <c r="F81" t="s">
        <v>39</v>
      </c>
      <c r="G81">
        <v>25</v>
      </c>
      <c r="H81">
        <v>17</v>
      </c>
      <c r="I81">
        <f t="shared" si="45"/>
        <v>0.68</v>
      </c>
      <c r="J81">
        <v>4</v>
      </c>
      <c r="L81">
        <v>38</v>
      </c>
      <c r="M81">
        <v>1.857</v>
      </c>
      <c r="N81">
        <v>34.177</v>
      </c>
      <c r="O81">
        <f t="shared" si="41"/>
        <v>32.32</v>
      </c>
      <c r="P81">
        <v>26.033000000000001</v>
      </c>
      <c r="Q81">
        <f t="shared" si="42"/>
        <v>24.176000000000002</v>
      </c>
      <c r="R81">
        <f t="shared" si="46"/>
        <v>8.1439999999999984</v>
      </c>
      <c r="S81">
        <f t="shared" si="47"/>
        <v>25.198019801980191</v>
      </c>
      <c r="T81">
        <v>1</v>
      </c>
      <c r="U81">
        <v>27.968399999999999</v>
      </c>
      <c r="V81">
        <v>31.917200000000001</v>
      </c>
      <c r="W81">
        <f t="shared" si="48"/>
        <v>3.9488000000000021</v>
      </c>
      <c r="X81">
        <f t="shared" si="49"/>
        <v>3948.800000000002</v>
      </c>
      <c r="Y81">
        <v>31.743400000000001</v>
      </c>
      <c r="Z81">
        <f t="shared" si="50"/>
        <v>3.7750000000000021</v>
      </c>
      <c r="AA81">
        <f t="shared" si="43"/>
        <v>3775.0000000000023</v>
      </c>
      <c r="AB81">
        <f t="shared" si="51"/>
        <v>173.79999999999973</v>
      </c>
      <c r="AC81">
        <v>0.75469284577388129</v>
      </c>
      <c r="AD81">
        <f t="shared" si="58"/>
        <v>4.4013371150729244</v>
      </c>
      <c r="AE81">
        <f t="shared" si="52"/>
        <v>3.9844813614262526</v>
      </c>
      <c r="AF81">
        <f t="shared" si="54"/>
        <v>3.0070595775877677E-2</v>
      </c>
      <c r="AG81" s="2">
        <f t="shared" si="55"/>
        <v>0.75176489439694194</v>
      </c>
      <c r="AH81">
        <v>15</v>
      </c>
      <c r="AI81">
        <f t="shared" si="57"/>
        <v>3.0070595775877677E-2</v>
      </c>
      <c r="AJ81">
        <f t="shared" si="53"/>
        <v>2.0047063850585117E-3</v>
      </c>
    </row>
    <row r="82" spans="1:37" x14ac:dyDescent="0.2">
      <c r="A82" t="s">
        <v>44</v>
      </c>
      <c r="B82">
        <v>2023</v>
      </c>
      <c r="C82">
        <f t="shared" si="36"/>
        <v>2</v>
      </c>
      <c r="D82">
        <v>4</v>
      </c>
      <c r="E82">
        <v>3</v>
      </c>
      <c r="F82" t="s">
        <v>40</v>
      </c>
      <c r="G82">
        <v>10</v>
      </c>
      <c r="H82">
        <v>7</v>
      </c>
      <c r="I82">
        <f t="shared" si="45"/>
        <v>0.7</v>
      </c>
      <c r="J82">
        <v>5.2</v>
      </c>
      <c r="K82">
        <v>23.466999999999999</v>
      </c>
      <c r="L82">
        <v>39</v>
      </c>
      <c r="M82">
        <v>1.8360000000000001</v>
      </c>
      <c r="N82">
        <v>34.142000000000003</v>
      </c>
      <c r="O82">
        <f t="shared" si="41"/>
        <v>32.306000000000004</v>
      </c>
      <c r="P82">
        <v>25.94</v>
      </c>
      <c r="Q82">
        <f t="shared" si="42"/>
        <v>24.104000000000003</v>
      </c>
      <c r="R82">
        <f t="shared" si="46"/>
        <v>8.2020000000000017</v>
      </c>
      <c r="S82">
        <f t="shared" si="47"/>
        <v>25.388472729523929</v>
      </c>
      <c r="T82">
        <v>9</v>
      </c>
      <c r="U82">
        <v>30.430700000000002</v>
      </c>
      <c r="V82">
        <v>33.158200000000001</v>
      </c>
      <c r="W82">
        <f t="shared" si="48"/>
        <v>2.7274999999999991</v>
      </c>
      <c r="X82">
        <f t="shared" si="49"/>
        <v>2727.4999999999991</v>
      </c>
      <c r="Y82">
        <v>32.988399999999999</v>
      </c>
      <c r="Z82">
        <f t="shared" si="50"/>
        <v>2.557699999999997</v>
      </c>
      <c r="AA82">
        <f t="shared" si="43"/>
        <v>2557.6999999999971</v>
      </c>
      <c r="AB82">
        <f t="shared" si="51"/>
        <v>169.800000000002</v>
      </c>
      <c r="AC82">
        <v>0.94418669989266912</v>
      </c>
      <c r="AD82">
        <f t="shared" si="58"/>
        <v>6.2254812098992511</v>
      </c>
      <c r="AE82">
        <f t="shared" si="52"/>
        <v>4.6411732355637305</v>
      </c>
      <c r="AF82">
        <f t="shared" si="54"/>
        <v>4.3821340409171003E-2</v>
      </c>
      <c r="AG82" s="2">
        <f t="shared" si="55"/>
        <v>0.43821340409171006</v>
      </c>
      <c r="AH82">
        <v>10</v>
      </c>
      <c r="AI82">
        <f t="shared" si="57"/>
        <v>4.3821340409171003E-2</v>
      </c>
      <c r="AJ82">
        <f t="shared" si="53"/>
        <v>4.3821340409171006E-3</v>
      </c>
    </row>
    <row r="83" spans="1:37" s="7" customFormat="1" x14ac:dyDescent="0.2">
      <c r="A83" s="7" t="s">
        <v>49</v>
      </c>
      <c r="B83" s="7">
        <v>2021</v>
      </c>
      <c r="C83" s="7">
        <f>2025-B83</f>
        <v>4</v>
      </c>
      <c r="D83" s="7">
        <v>1</v>
      </c>
      <c r="E83" s="7">
        <v>1</v>
      </c>
      <c r="F83" s="7" t="s">
        <v>38</v>
      </c>
      <c r="G83" s="7">
        <v>50</v>
      </c>
      <c r="H83" s="7">
        <v>21.5</v>
      </c>
      <c r="I83" s="7">
        <f t="shared" si="45"/>
        <v>0.43</v>
      </c>
      <c r="J83" s="7">
        <v>4</v>
      </c>
      <c r="L83" s="7">
        <v>49</v>
      </c>
      <c r="M83" s="7">
        <v>1.855</v>
      </c>
      <c r="N83" s="7">
        <v>34.601999999999997</v>
      </c>
      <c r="O83" s="7">
        <f t="shared" si="41"/>
        <v>32.747</v>
      </c>
      <c r="P83" s="7">
        <v>21.829000000000001</v>
      </c>
      <c r="Q83" s="7">
        <f t="shared" si="42"/>
        <v>19.974</v>
      </c>
      <c r="R83" s="7">
        <f>O83-Q83</f>
        <v>12.773</v>
      </c>
      <c r="S83" s="8">
        <f>((O83-Q83)/O83)*100</f>
        <v>39.005099703789661</v>
      </c>
      <c r="T83" s="7">
        <v>2</v>
      </c>
      <c r="U83" s="7">
        <v>26.6462</v>
      </c>
      <c r="V83" s="7">
        <v>29.134499999999999</v>
      </c>
      <c r="W83" s="7">
        <f>V83-U83</f>
        <v>2.4882999999999988</v>
      </c>
      <c r="X83" s="7">
        <f>W83*1000</f>
        <v>2488.2999999999988</v>
      </c>
      <c r="Y83" s="7">
        <v>28.999700000000001</v>
      </c>
      <c r="Z83" s="7">
        <f>Y83-U83</f>
        <v>2.3535000000000004</v>
      </c>
      <c r="AA83" s="7">
        <f t="shared" si="43"/>
        <v>2353.5000000000005</v>
      </c>
      <c r="AB83" s="7">
        <f>X83-AA83</f>
        <v>134.79999999999836</v>
      </c>
      <c r="AC83" s="7">
        <v>0.91301222541454419</v>
      </c>
      <c r="AD83" s="7">
        <f t="shared" si="58"/>
        <v>5.4173532130369502</v>
      </c>
      <c r="AE83" s="7">
        <f>0.36*AD83+2.4</f>
        <v>4.3502471566933014</v>
      </c>
      <c r="AF83" s="7">
        <f t="shared" si="54"/>
        <v>3.9718288376358449E-2</v>
      </c>
      <c r="AG83" s="7">
        <f t="shared" si="55"/>
        <v>1.9859144188179225</v>
      </c>
      <c r="AH83" s="7">
        <v>25</v>
      </c>
      <c r="AI83" s="7">
        <f>AG83-(AI84+AI85)</f>
        <v>0.68855659436109695</v>
      </c>
      <c r="AJ83" s="7">
        <f>AI83/AH83</f>
        <v>2.7542263774443878E-2</v>
      </c>
    </row>
    <row r="84" spans="1:37" s="7" customFormat="1" x14ac:dyDescent="0.2">
      <c r="A84" s="7" t="s">
        <v>49</v>
      </c>
      <c r="B84" s="7">
        <v>2021</v>
      </c>
      <c r="C84" s="7">
        <f t="shared" ref="C84:C100" si="59">2025-B84</f>
        <v>4</v>
      </c>
      <c r="D84" s="7">
        <v>1</v>
      </c>
      <c r="E84" s="7">
        <v>1</v>
      </c>
      <c r="F84" s="7" t="s">
        <v>39</v>
      </c>
      <c r="G84" s="7">
        <v>25</v>
      </c>
      <c r="H84" s="7">
        <v>18</v>
      </c>
      <c r="I84" s="7">
        <f t="shared" si="45"/>
        <v>0.72</v>
      </c>
      <c r="J84" s="7">
        <v>4</v>
      </c>
      <c r="L84" s="7">
        <v>50</v>
      </c>
      <c r="M84" s="7">
        <v>1.915</v>
      </c>
      <c r="N84" s="7">
        <v>31.771999999999998</v>
      </c>
      <c r="O84" s="7">
        <f t="shared" si="41"/>
        <v>29.856999999999999</v>
      </c>
      <c r="P84" s="7">
        <v>19.084</v>
      </c>
      <c r="Q84" s="7">
        <f t="shared" si="42"/>
        <v>17.169</v>
      </c>
      <c r="R84" s="7">
        <f t="shared" ref="R84:R100" si="60">O84-Q84</f>
        <v>12.687999999999999</v>
      </c>
      <c r="S84" s="8">
        <f t="shared" ref="S84:S100" si="61">((O84-Q84)/O84)*100</f>
        <v>42.49589710955555</v>
      </c>
      <c r="T84" s="7">
        <v>7</v>
      </c>
      <c r="U84" s="7">
        <v>27.354099999999999</v>
      </c>
      <c r="V84" s="7">
        <v>29.940999999999999</v>
      </c>
      <c r="W84" s="7">
        <f t="shared" ref="W84:W100" si="62">V84-U84</f>
        <v>2.5869</v>
      </c>
      <c r="X84" s="7">
        <f t="shared" ref="X84:X100" si="63">W84*1000</f>
        <v>2586.9</v>
      </c>
      <c r="Y84" s="7">
        <v>29.729900000000001</v>
      </c>
      <c r="Z84" s="7">
        <f t="shared" ref="Z84:Z100" si="64">Y84-U84</f>
        <v>2.3758000000000017</v>
      </c>
      <c r="AA84" s="7">
        <f t="shared" si="43"/>
        <v>2375.8000000000015</v>
      </c>
      <c r="AB84" s="7">
        <f t="shared" ref="AB84:AB100" si="65">X84-AA84</f>
        <v>211.09999999999854</v>
      </c>
      <c r="AC84" s="7">
        <v>0.97221786424472922</v>
      </c>
      <c r="AD84" s="7">
        <f t="shared" si="58"/>
        <v>8.1603463605086599</v>
      </c>
      <c r="AE84" s="7">
        <f t="shared" ref="AE84:AE100" si="66">0.36*AD84+2.4</f>
        <v>5.3377246897831174</v>
      </c>
      <c r="AF84" s="7">
        <f t="shared" si="54"/>
        <v>5.1894312978273023E-2</v>
      </c>
      <c r="AG84" s="7">
        <f t="shared" si="55"/>
        <v>1.2973578244568256</v>
      </c>
      <c r="AH84" s="7">
        <v>15</v>
      </c>
      <c r="AI84" s="7">
        <f>AG84-AG85</f>
        <v>0.83091800418526873</v>
      </c>
      <c r="AJ84" s="7">
        <f t="shared" ref="AJ84:AJ100" si="67">AI84/AH84</f>
        <v>5.5394533612351249E-2</v>
      </c>
    </row>
    <row r="85" spans="1:37" s="7" customFormat="1" x14ac:dyDescent="0.2">
      <c r="A85" s="7" t="s">
        <v>49</v>
      </c>
      <c r="B85" s="7">
        <v>2021</v>
      </c>
      <c r="C85" s="7">
        <f t="shared" si="59"/>
        <v>4</v>
      </c>
      <c r="D85" s="7">
        <v>1</v>
      </c>
      <c r="E85" s="7">
        <v>1</v>
      </c>
      <c r="F85" s="7" t="s">
        <v>40</v>
      </c>
      <c r="G85" s="7">
        <v>10</v>
      </c>
      <c r="H85" s="7">
        <v>5.5</v>
      </c>
      <c r="I85" s="7">
        <f t="shared" si="45"/>
        <v>0.55000000000000004</v>
      </c>
      <c r="J85" s="7">
        <v>4</v>
      </c>
      <c r="L85" s="7">
        <v>51</v>
      </c>
      <c r="M85" s="7">
        <v>1.905</v>
      </c>
      <c r="N85" s="7">
        <v>30.744</v>
      </c>
      <c r="O85" s="7">
        <f t="shared" si="41"/>
        <v>28.838999999999999</v>
      </c>
      <c r="P85" s="7">
        <v>19.95</v>
      </c>
      <c r="Q85" s="7">
        <f t="shared" si="42"/>
        <v>18.044999999999998</v>
      </c>
      <c r="R85" s="7">
        <f t="shared" si="60"/>
        <v>10.794</v>
      </c>
      <c r="S85" s="8">
        <f t="shared" si="61"/>
        <v>37.428482263601374</v>
      </c>
      <c r="T85" s="7">
        <v>19</v>
      </c>
      <c r="U85" s="7">
        <v>28.572199999999999</v>
      </c>
      <c r="V85" s="7">
        <v>31.6721</v>
      </c>
      <c r="W85" s="7">
        <f t="shared" si="62"/>
        <v>3.0999000000000017</v>
      </c>
      <c r="X85" s="7">
        <f t="shared" si="63"/>
        <v>3099.9000000000015</v>
      </c>
      <c r="Y85" s="7">
        <v>31.480699999999999</v>
      </c>
      <c r="Z85" s="7">
        <f t="shared" si="64"/>
        <v>2.9085000000000001</v>
      </c>
      <c r="AA85" s="7">
        <f t="shared" si="43"/>
        <v>2908.5</v>
      </c>
      <c r="AB85" s="7">
        <f t="shared" si="65"/>
        <v>191.40000000000146</v>
      </c>
      <c r="AC85" s="7">
        <v>1.0090025504668434</v>
      </c>
      <c r="AD85" s="7">
        <f t="shared" si="58"/>
        <v>6.1743927223459263</v>
      </c>
      <c r="AE85" s="7">
        <f t="shared" si="66"/>
        <v>4.6227813800445334</v>
      </c>
      <c r="AF85" s="7">
        <f t="shared" si="54"/>
        <v>4.6643982027155681E-2</v>
      </c>
      <c r="AG85" s="7">
        <f t="shared" si="55"/>
        <v>0.46643982027155684</v>
      </c>
      <c r="AH85" s="7">
        <v>10</v>
      </c>
      <c r="AI85" s="7">
        <f>AG85</f>
        <v>0.46643982027155684</v>
      </c>
      <c r="AJ85" s="7">
        <f t="shared" si="67"/>
        <v>4.6643982027155681E-2</v>
      </c>
    </row>
    <row r="86" spans="1:37" s="7" customFormat="1" x14ac:dyDescent="0.2">
      <c r="A86" s="7" t="s">
        <v>49</v>
      </c>
      <c r="B86" s="7">
        <v>2021</v>
      </c>
      <c r="C86" s="7">
        <f t="shared" si="59"/>
        <v>4</v>
      </c>
      <c r="D86" s="7">
        <v>1</v>
      </c>
      <c r="E86" s="7">
        <v>2</v>
      </c>
      <c r="F86" s="9" t="s">
        <v>41</v>
      </c>
      <c r="G86" s="7">
        <v>50</v>
      </c>
      <c r="H86" s="7">
        <v>16</v>
      </c>
      <c r="I86" s="7">
        <f t="shared" si="45"/>
        <v>0.32</v>
      </c>
      <c r="J86" s="7">
        <v>4</v>
      </c>
      <c r="L86" s="7">
        <v>52</v>
      </c>
      <c r="M86" s="7">
        <v>1.887</v>
      </c>
      <c r="N86" s="7">
        <v>35.707999999999998</v>
      </c>
      <c r="O86" s="7">
        <f t="shared" si="41"/>
        <v>33.820999999999998</v>
      </c>
      <c r="P86" s="7">
        <v>18.652999999999999</v>
      </c>
      <c r="Q86" s="7">
        <f t="shared" si="42"/>
        <v>16.765999999999998</v>
      </c>
      <c r="R86" s="7">
        <f t="shared" si="60"/>
        <v>17.055</v>
      </c>
      <c r="S86" s="8">
        <f t="shared" si="61"/>
        <v>50.427249342124711</v>
      </c>
      <c r="T86" s="7">
        <v>20</v>
      </c>
      <c r="U86" s="7">
        <v>28.529900000000001</v>
      </c>
      <c r="V86" s="7">
        <v>30.9969</v>
      </c>
      <c r="W86" s="7">
        <f t="shared" si="62"/>
        <v>2.4669999999999987</v>
      </c>
      <c r="X86" s="7">
        <f t="shared" si="63"/>
        <v>2466.9999999999986</v>
      </c>
      <c r="Y86" s="7">
        <v>30.797000000000001</v>
      </c>
      <c r="Z86" s="7">
        <f t="shared" si="64"/>
        <v>2.2670999999999992</v>
      </c>
      <c r="AA86" s="7">
        <f t="shared" si="43"/>
        <v>2267.0999999999995</v>
      </c>
      <c r="AB86" s="7">
        <f t="shared" si="65"/>
        <v>199.89999999999918</v>
      </c>
      <c r="AC86" s="7">
        <v>0.91301222541454419</v>
      </c>
      <c r="AD86" s="7">
        <f t="shared" si="58"/>
        <v>8.1029590595865137</v>
      </c>
      <c r="AE86" s="7">
        <f t="shared" si="66"/>
        <v>5.3170652614511447</v>
      </c>
      <c r="AF86" s="7">
        <f t="shared" ref="AF86:AF108" si="68">AC86*(AE86/100)</f>
        <v>4.8545455870318749E-2</v>
      </c>
      <c r="AG86" s="7">
        <f t="shared" si="55"/>
        <v>2.4272727935159373</v>
      </c>
      <c r="AH86" s="7">
        <v>25</v>
      </c>
      <c r="AI86" s="7">
        <f>AG86-(AI87+AI88)</f>
        <v>1.1715494178462396</v>
      </c>
      <c r="AJ86" s="7">
        <f t="shared" si="67"/>
        <v>4.6861976713849583E-2</v>
      </c>
    </row>
    <row r="87" spans="1:37" s="7" customFormat="1" x14ac:dyDescent="0.2">
      <c r="A87" s="7" t="s">
        <v>49</v>
      </c>
      <c r="B87" s="7">
        <v>2021</v>
      </c>
      <c r="C87" s="7">
        <f t="shared" si="59"/>
        <v>4</v>
      </c>
      <c r="D87" s="7">
        <v>1</v>
      </c>
      <c r="E87" s="7">
        <v>2</v>
      </c>
      <c r="F87" s="7" t="s">
        <v>39</v>
      </c>
      <c r="G87" s="7">
        <v>25</v>
      </c>
      <c r="H87" s="7">
        <v>13</v>
      </c>
      <c r="I87" s="7">
        <f t="shared" si="45"/>
        <v>0.52</v>
      </c>
      <c r="J87" s="7">
        <v>4</v>
      </c>
      <c r="L87" s="7">
        <v>53</v>
      </c>
      <c r="M87" s="7">
        <v>1.887</v>
      </c>
      <c r="N87" s="7">
        <v>36.011000000000003</v>
      </c>
      <c r="O87" s="7">
        <f t="shared" si="41"/>
        <v>34.124000000000002</v>
      </c>
      <c r="P87" s="7">
        <v>20.709</v>
      </c>
      <c r="Q87" s="7">
        <f t="shared" si="42"/>
        <v>18.821999999999999</v>
      </c>
      <c r="R87" s="7">
        <f t="shared" si="60"/>
        <v>15.302000000000003</v>
      </c>
      <c r="S87" s="8">
        <f t="shared" si="61"/>
        <v>44.842339702262343</v>
      </c>
      <c r="T87" s="7">
        <v>12</v>
      </c>
      <c r="U87" s="7">
        <v>29.421700000000001</v>
      </c>
      <c r="V87" s="7">
        <v>31.990500000000001</v>
      </c>
      <c r="W87" s="7">
        <f t="shared" si="62"/>
        <v>2.5687999999999995</v>
      </c>
      <c r="X87" s="7">
        <f t="shared" si="63"/>
        <v>2568.7999999999997</v>
      </c>
      <c r="Y87" s="7">
        <v>31.793099999999999</v>
      </c>
      <c r="Z87" s="7">
        <f t="shared" si="64"/>
        <v>2.3713999999999977</v>
      </c>
      <c r="AA87" s="7">
        <f t="shared" si="43"/>
        <v>2371.3999999999978</v>
      </c>
      <c r="AB87" s="7">
        <f t="shared" si="65"/>
        <v>197.40000000000191</v>
      </c>
      <c r="AC87" s="7">
        <v>0.97221786424472922</v>
      </c>
      <c r="AD87" s="7">
        <f t="shared" si="58"/>
        <v>7.6845219557770923</v>
      </c>
      <c r="AE87" s="7">
        <f t="shared" si="66"/>
        <v>5.1664279040797529</v>
      </c>
      <c r="AF87" s="7">
        <f t="shared" si="68"/>
        <v>5.0228935026787908E-2</v>
      </c>
      <c r="AG87" s="7">
        <f t="shared" si="55"/>
        <v>1.2557233756696977</v>
      </c>
      <c r="AH87" s="7">
        <v>15</v>
      </c>
      <c r="AI87" s="7">
        <f>AG87-AG88</f>
        <v>0.71997660148838294</v>
      </c>
      <c r="AJ87" s="7">
        <f t="shared" si="67"/>
        <v>4.7998440099225527E-2</v>
      </c>
    </row>
    <row r="88" spans="1:37" s="7" customFormat="1" x14ac:dyDescent="0.2">
      <c r="A88" s="7" t="s">
        <v>49</v>
      </c>
      <c r="B88" s="7">
        <v>2021</v>
      </c>
      <c r="C88" s="7">
        <f t="shared" si="59"/>
        <v>4</v>
      </c>
      <c r="D88" s="7">
        <v>1</v>
      </c>
      <c r="E88" s="7">
        <v>2</v>
      </c>
      <c r="F88" s="7" t="s">
        <v>40</v>
      </c>
      <c r="G88" s="7">
        <v>10</v>
      </c>
      <c r="H88" s="7">
        <v>8.1999999999999993</v>
      </c>
      <c r="I88" s="7">
        <f t="shared" si="45"/>
        <v>0.82</v>
      </c>
      <c r="J88" s="7">
        <v>4</v>
      </c>
      <c r="L88" s="7">
        <v>54</v>
      </c>
      <c r="M88" s="7">
        <v>1.881</v>
      </c>
      <c r="N88" s="7">
        <v>31.699000000000002</v>
      </c>
      <c r="O88" s="7">
        <f t="shared" si="41"/>
        <v>29.818000000000001</v>
      </c>
      <c r="P88" s="7">
        <v>18.521000000000001</v>
      </c>
      <c r="Q88" s="7">
        <f t="shared" si="42"/>
        <v>16.64</v>
      </c>
      <c r="R88" s="7">
        <f t="shared" si="60"/>
        <v>13.178000000000001</v>
      </c>
      <c r="S88" s="8">
        <f t="shared" si="61"/>
        <v>44.194781675498021</v>
      </c>
      <c r="T88" s="7">
        <v>14</v>
      </c>
      <c r="U88" s="7">
        <v>27.7986</v>
      </c>
      <c r="V88" s="7">
        <v>31.584599999999998</v>
      </c>
      <c r="W88" s="7">
        <f t="shared" si="62"/>
        <v>3.7859999999999978</v>
      </c>
      <c r="X88" s="7">
        <f t="shared" si="63"/>
        <v>3785.9999999999977</v>
      </c>
      <c r="Y88" s="7">
        <v>31.278600000000001</v>
      </c>
      <c r="Z88" s="7">
        <f t="shared" si="64"/>
        <v>3.4800000000000004</v>
      </c>
      <c r="AA88" s="7">
        <f t="shared" si="43"/>
        <v>3480.0000000000005</v>
      </c>
      <c r="AB88" s="7">
        <f t="shared" si="65"/>
        <v>305.99999999999727</v>
      </c>
      <c r="AC88" s="7">
        <v>1.0090025504668434</v>
      </c>
      <c r="AD88" s="7">
        <f t="shared" si="58"/>
        <v>8.0824088748018337</v>
      </c>
      <c r="AE88" s="7">
        <f t="shared" si="66"/>
        <v>5.30966719492866</v>
      </c>
      <c r="AF88" s="7">
        <f t="shared" si="68"/>
        <v>5.3574677418131482E-2</v>
      </c>
      <c r="AG88" s="7">
        <f t="shared" si="55"/>
        <v>0.53574677418131478</v>
      </c>
      <c r="AH88" s="7">
        <v>10</v>
      </c>
      <c r="AI88" s="7">
        <f>AG88</f>
        <v>0.53574677418131478</v>
      </c>
      <c r="AJ88" s="7">
        <f t="shared" si="67"/>
        <v>5.3574677418131475E-2</v>
      </c>
    </row>
    <row r="89" spans="1:37" s="7" customFormat="1" x14ac:dyDescent="0.2">
      <c r="A89" s="7" t="s">
        <v>49</v>
      </c>
      <c r="B89" s="7">
        <v>2021</v>
      </c>
      <c r="C89" s="7">
        <f t="shared" si="59"/>
        <v>4</v>
      </c>
      <c r="D89" s="7">
        <v>1</v>
      </c>
      <c r="E89" s="7">
        <v>3</v>
      </c>
      <c r="F89" s="9" t="s">
        <v>41</v>
      </c>
      <c r="G89" s="7">
        <v>50</v>
      </c>
      <c r="H89" s="7">
        <v>12.5</v>
      </c>
      <c r="I89" s="7">
        <f t="shared" si="45"/>
        <v>0.25</v>
      </c>
      <c r="J89" s="7">
        <v>4</v>
      </c>
      <c r="L89" s="7">
        <v>55</v>
      </c>
      <c r="M89" s="7">
        <v>1.895</v>
      </c>
      <c r="N89" s="7">
        <v>31.158999999999999</v>
      </c>
      <c r="O89" s="7">
        <f t="shared" si="41"/>
        <v>29.263999999999999</v>
      </c>
      <c r="P89" s="7">
        <v>16.481000000000002</v>
      </c>
      <c r="Q89" s="7">
        <f t="shared" si="42"/>
        <v>14.586000000000002</v>
      </c>
      <c r="R89" s="7">
        <f t="shared" si="60"/>
        <v>14.677999999999997</v>
      </c>
      <c r="S89" s="8">
        <f t="shared" si="61"/>
        <v>50.157189721159092</v>
      </c>
      <c r="T89" s="7">
        <v>21</v>
      </c>
      <c r="U89" s="7">
        <v>31.083500000000001</v>
      </c>
      <c r="V89" s="7">
        <v>34.643700000000003</v>
      </c>
      <c r="W89" s="7">
        <f t="shared" si="62"/>
        <v>3.5602000000000018</v>
      </c>
      <c r="X89" s="7">
        <f t="shared" si="63"/>
        <v>3560.2000000000016</v>
      </c>
      <c r="Y89" s="7">
        <v>34.260800000000003</v>
      </c>
      <c r="Z89" s="7">
        <f t="shared" si="64"/>
        <v>3.1773000000000025</v>
      </c>
      <c r="AA89" s="7">
        <f t="shared" si="43"/>
        <v>3177.3000000000025</v>
      </c>
      <c r="AB89" s="7">
        <f t="shared" si="65"/>
        <v>382.89999999999918</v>
      </c>
      <c r="AC89" s="7">
        <v>0.91301222541454419</v>
      </c>
      <c r="AD89" s="7">
        <f t="shared" si="58"/>
        <v>10.755013763271698</v>
      </c>
      <c r="AE89" s="7">
        <f t="shared" si="66"/>
        <v>6.271804954777811</v>
      </c>
      <c r="AF89" s="7">
        <f t="shared" si="68"/>
        <v>5.7262345991276539E-2</v>
      </c>
      <c r="AG89" s="7">
        <f t="shared" si="55"/>
        <v>2.863117299563827</v>
      </c>
      <c r="AH89" s="7">
        <v>25</v>
      </c>
      <c r="AI89" s="7">
        <f>AG89-(AI90+AI91)</f>
        <v>1.5102814573608387</v>
      </c>
      <c r="AJ89" s="7">
        <f t="shared" si="67"/>
        <v>6.0411258294433549E-2</v>
      </c>
    </row>
    <row r="90" spans="1:37" s="7" customFormat="1" x14ac:dyDescent="0.2">
      <c r="A90" s="7" t="s">
        <v>49</v>
      </c>
      <c r="B90" s="7">
        <v>2021</v>
      </c>
      <c r="C90" s="7">
        <f t="shared" si="59"/>
        <v>4</v>
      </c>
      <c r="D90" s="7">
        <v>1</v>
      </c>
      <c r="E90" s="7">
        <v>3</v>
      </c>
      <c r="F90" s="7" t="s">
        <v>39</v>
      </c>
      <c r="G90" s="7">
        <v>25</v>
      </c>
      <c r="H90" s="7">
        <v>7.5</v>
      </c>
      <c r="I90" s="7">
        <f t="shared" si="45"/>
        <v>0.3</v>
      </c>
      <c r="J90" s="7">
        <v>4</v>
      </c>
      <c r="L90" s="7">
        <v>56</v>
      </c>
      <c r="M90" s="7">
        <v>1.873</v>
      </c>
      <c r="N90" s="7">
        <v>34.314999999999998</v>
      </c>
      <c r="O90" s="7">
        <f t="shared" si="41"/>
        <v>32.442</v>
      </c>
      <c r="P90" s="7">
        <v>18.734999999999999</v>
      </c>
      <c r="Q90" s="7">
        <f t="shared" si="42"/>
        <v>16.861999999999998</v>
      </c>
      <c r="R90" s="7">
        <f t="shared" si="60"/>
        <v>15.580000000000002</v>
      </c>
      <c r="S90" s="8">
        <f t="shared" si="61"/>
        <v>48.024166204303071</v>
      </c>
      <c r="T90" s="7">
        <v>13</v>
      </c>
      <c r="U90" s="7">
        <v>22.196200000000001</v>
      </c>
      <c r="V90" s="7">
        <v>25.899699999999999</v>
      </c>
      <c r="W90" s="7">
        <f t="shared" si="62"/>
        <v>3.7034999999999982</v>
      </c>
      <c r="X90" s="7">
        <f t="shared" si="63"/>
        <v>3703.4999999999982</v>
      </c>
      <c r="Y90" s="7">
        <v>25.574000000000002</v>
      </c>
      <c r="Z90" s="7">
        <f t="shared" si="64"/>
        <v>3.3778000000000006</v>
      </c>
      <c r="AA90" s="7">
        <f t="shared" si="43"/>
        <v>3377.8000000000006</v>
      </c>
      <c r="AB90" s="7">
        <f t="shared" si="65"/>
        <v>325.69999999999754</v>
      </c>
      <c r="AC90" s="7">
        <v>0.97221786424472922</v>
      </c>
      <c r="AD90" s="7">
        <f t="shared" si="58"/>
        <v>8.7943836911029489</v>
      </c>
      <c r="AE90" s="7">
        <f t="shared" si="66"/>
        <v>5.5659781287970613</v>
      </c>
      <c r="AF90" s="7">
        <f t="shared" si="68"/>
        <v>5.4113433688119529E-2</v>
      </c>
      <c r="AG90" s="7">
        <f t="shared" si="55"/>
        <v>1.3528358422029882</v>
      </c>
      <c r="AH90" s="7">
        <v>15</v>
      </c>
      <c r="AI90" s="7">
        <f>AG90-AG91</f>
        <v>0.73400920475089237</v>
      </c>
      <c r="AJ90" s="7">
        <f t="shared" si="67"/>
        <v>4.8933946983392825E-2</v>
      </c>
    </row>
    <row r="91" spans="1:37" s="7" customFormat="1" x14ac:dyDescent="0.2">
      <c r="A91" s="7" t="s">
        <v>49</v>
      </c>
      <c r="B91" s="7">
        <v>2021</v>
      </c>
      <c r="C91" s="7">
        <f t="shared" si="59"/>
        <v>4</v>
      </c>
      <c r="D91" s="7">
        <v>1</v>
      </c>
      <c r="E91" s="7">
        <v>3</v>
      </c>
      <c r="F91" s="7" t="s">
        <v>40</v>
      </c>
      <c r="G91" s="7">
        <v>10</v>
      </c>
      <c r="H91" s="7">
        <v>9.3000000000000007</v>
      </c>
      <c r="I91" s="7">
        <f t="shared" si="45"/>
        <v>0.93</v>
      </c>
      <c r="J91" s="7">
        <v>4</v>
      </c>
      <c r="L91" s="7">
        <v>57</v>
      </c>
      <c r="M91" s="7">
        <v>1.889</v>
      </c>
      <c r="N91" s="7">
        <v>32.064</v>
      </c>
      <c r="O91" s="7">
        <f t="shared" si="41"/>
        <v>30.175000000000001</v>
      </c>
      <c r="P91" s="7">
        <v>17.114000000000001</v>
      </c>
      <c r="Q91" s="7">
        <f t="shared" si="42"/>
        <v>15.225000000000001</v>
      </c>
      <c r="R91" s="7">
        <f t="shared" si="60"/>
        <v>14.95</v>
      </c>
      <c r="S91" s="8">
        <f t="shared" si="61"/>
        <v>49.544324772162383</v>
      </c>
      <c r="T91" s="7">
        <v>1</v>
      </c>
      <c r="U91" s="7">
        <v>27.967700000000001</v>
      </c>
      <c r="V91" s="7">
        <v>31.490500000000001</v>
      </c>
      <c r="W91" s="7">
        <f t="shared" si="62"/>
        <v>3.5228000000000002</v>
      </c>
      <c r="X91" s="7">
        <f t="shared" si="63"/>
        <v>3522.8</v>
      </c>
      <c r="Y91" s="7">
        <v>31.1252</v>
      </c>
      <c r="Z91" s="7">
        <f t="shared" si="64"/>
        <v>3.1574999999999989</v>
      </c>
      <c r="AA91" s="7">
        <f t="shared" si="43"/>
        <v>3157.4999999999991</v>
      </c>
      <c r="AB91" s="7">
        <f t="shared" si="65"/>
        <v>365.30000000000109</v>
      </c>
      <c r="AC91" s="7">
        <v>1.0090025504668434</v>
      </c>
      <c r="AD91" s="7">
        <f t="shared" si="58"/>
        <v>10.369592369705947</v>
      </c>
      <c r="AE91" s="7">
        <f t="shared" si="66"/>
        <v>6.1330532530941406</v>
      </c>
      <c r="AF91" s="7">
        <f t="shared" si="68"/>
        <v>6.1882663745209593E-2</v>
      </c>
      <c r="AG91" s="7">
        <f t="shared" si="55"/>
        <v>0.61882663745209587</v>
      </c>
      <c r="AH91" s="7">
        <v>10</v>
      </c>
      <c r="AI91" s="7">
        <f>AG91</f>
        <v>0.61882663745209587</v>
      </c>
      <c r="AJ91" s="7">
        <f t="shared" si="67"/>
        <v>6.1882663745209586E-2</v>
      </c>
    </row>
    <row r="92" spans="1:37" s="7" customFormat="1" x14ac:dyDescent="0.2">
      <c r="A92" s="7" t="s">
        <v>49</v>
      </c>
      <c r="B92" s="7">
        <v>2017</v>
      </c>
      <c r="C92" s="7">
        <f t="shared" si="59"/>
        <v>8</v>
      </c>
      <c r="D92" s="7">
        <v>2</v>
      </c>
      <c r="E92" s="7">
        <v>1</v>
      </c>
      <c r="F92" s="9" t="s">
        <v>41</v>
      </c>
      <c r="G92" s="7">
        <v>50</v>
      </c>
      <c r="H92" s="7">
        <v>19.5</v>
      </c>
      <c r="I92" s="7">
        <f t="shared" si="45"/>
        <v>0.39</v>
      </c>
      <c r="J92" s="7">
        <v>4</v>
      </c>
      <c r="L92" s="7">
        <v>58</v>
      </c>
      <c r="M92" s="7">
        <v>1.8759999999999999</v>
      </c>
      <c r="N92" s="7">
        <v>35.56</v>
      </c>
      <c r="O92" s="7">
        <f t="shared" si="41"/>
        <v>33.684000000000005</v>
      </c>
      <c r="P92" s="7">
        <v>16.882999999999999</v>
      </c>
      <c r="Q92" s="7">
        <f t="shared" si="42"/>
        <v>15.007</v>
      </c>
      <c r="R92" s="7">
        <f t="shared" si="60"/>
        <v>18.677000000000007</v>
      </c>
      <c r="S92" s="8">
        <f t="shared" si="61"/>
        <v>55.44769029806438</v>
      </c>
      <c r="T92" s="7">
        <v>17</v>
      </c>
      <c r="U92" s="7">
        <v>28.977699999999999</v>
      </c>
      <c r="V92" s="7">
        <v>32.476399999999998</v>
      </c>
      <c r="W92" s="7">
        <f t="shared" si="62"/>
        <v>3.4986999999999995</v>
      </c>
      <c r="X92" s="7">
        <f t="shared" si="63"/>
        <v>3498.6999999999994</v>
      </c>
      <c r="Y92" s="7">
        <v>32.082000000000001</v>
      </c>
      <c r="Z92" s="7">
        <f t="shared" si="64"/>
        <v>3.1043000000000021</v>
      </c>
      <c r="AA92" s="7">
        <f t="shared" si="43"/>
        <v>3104.300000000002</v>
      </c>
      <c r="AB92" s="7">
        <f t="shared" si="65"/>
        <v>394.39999999999736</v>
      </c>
      <c r="AC92" s="7">
        <v>0.91301222541454419</v>
      </c>
      <c r="AD92" s="7">
        <f t="shared" si="58"/>
        <v>11.272758453139664</v>
      </c>
      <c r="AE92" s="7">
        <f t="shared" si="66"/>
        <v>6.4581930431302794</v>
      </c>
      <c r="AF92" s="7">
        <f t="shared" si="68"/>
        <v>5.8964092024651041E-2</v>
      </c>
      <c r="AG92" s="7">
        <f t="shared" si="55"/>
        <v>2.9482046012325522</v>
      </c>
      <c r="AH92" s="7">
        <v>25</v>
      </c>
      <c r="AI92" s="7">
        <f>AG92-(AI93+AI94)</f>
        <v>1.5127941071171198</v>
      </c>
      <c r="AJ92" s="7">
        <f t="shared" si="67"/>
        <v>6.0511764284684792E-2</v>
      </c>
      <c r="AK92" s="7" t="s">
        <v>50</v>
      </c>
    </row>
    <row r="93" spans="1:37" s="7" customFormat="1" x14ac:dyDescent="0.2">
      <c r="A93" s="7" t="s">
        <v>49</v>
      </c>
      <c r="B93" s="7">
        <v>2017</v>
      </c>
      <c r="C93" s="7">
        <f t="shared" si="59"/>
        <v>8</v>
      </c>
      <c r="D93" s="7">
        <v>2</v>
      </c>
      <c r="E93" s="7">
        <v>1</v>
      </c>
      <c r="F93" s="7" t="s">
        <v>39</v>
      </c>
      <c r="G93" s="7">
        <v>25</v>
      </c>
      <c r="H93" s="7">
        <v>21</v>
      </c>
      <c r="I93" s="7">
        <f t="shared" si="45"/>
        <v>0.84</v>
      </c>
      <c r="J93" s="7">
        <v>4</v>
      </c>
      <c r="L93" s="7">
        <v>59</v>
      </c>
      <c r="M93" s="7">
        <v>1.8620000000000001</v>
      </c>
      <c r="N93" s="7">
        <v>33.177</v>
      </c>
      <c r="O93" s="7">
        <f t="shared" si="41"/>
        <v>31.314999999999998</v>
      </c>
      <c r="P93" s="7">
        <v>15.846</v>
      </c>
      <c r="Q93" s="7">
        <f t="shared" si="42"/>
        <v>13.984</v>
      </c>
      <c r="R93" s="7">
        <f t="shared" si="60"/>
        <v>17.330999999999996</v>
      </c>
      <c r="S93" s="8">
        <f t="shared" si="61"/>
        <v>55.344084304646323</v>
      </c>
      <c r="T93" s="7">
        <v>8</v>
      </c>
      <c r="U93" s="7">
        <v>27.3459</v>
      </c>
      <c r="V93" s="7">
        <v>30.5303</v>
      </c>
      <c r="W93" s="7">
        <f t="shared" si="62"/>
        <v>3.1844000000000001</v>
      </c>
      <c r="X93" s="7">
        <f t="shared" si="63"/>
        <v>3184.4</v>
      </c>
      <c r="Y93" s="7">
        <v>30.220199999999998</v>
      </c>
      <c r="Z93" s="7">
        <f t="shared" si="64"/>
        <v>2.8742999999999981</v>
      </c>
      <c r="AA93" s="7">
        <f t="shared" si="43"/>
        <v>2874.2999999999979</v>
      </c>
      <c r="AB93" s="7">
        <f t="shared" si="65"/>
        <v>310.10000000000218</v>
      </c>
      <c r="AC93" s="7">
        <v>0.97221786424472922</v>
      </c>
      <c r="AD93" s="7">
        <f t="shared" si="58"/>
        <v>9.7380982288657876</v>
      </c>
      <c r="AE93" s="7">
        <f t="shared" si="66"/>
        <v>5.9057153623916836</v>
      </c>
      <c r="AF93" s="7">
        <f t="shared" si="68"/>
        <v>5.7416419764617296E-2</v>
      </c>
      <c r="AG93" s="7">
        <f t="shared" ref="AG93:AG108" si="69">AF93*G93</f>
        <v>1.4354104941154324</v>
      </c>
      <c r="AH93" s="7">
        <v>15</v>
      </c>
      <c r="AI93" s="7">
        <f>AG93-AG94</f>
        <v>0.86436094124368268</v>
      </c>
      <c r="AJ93" s="7">
        <f t="shared" si="67"/>
        <v>5.7624062749578847E-2</v>
      </c>
      <c r="AK93" s="7" t="s">
        <v>51</v>
      </c>
    </row>
    <row r="94" spans="1:37" s="7" customFormat="1" x14ac:dyDescent="0.2">
      <c r="A94" s="7" t="s">
        <v>49</v>
      </c>
      <c r="B94" s="7">
        <v>2017</v>
      </c>
      <c r="C94" s="7">
        <f t="shared" si="59"/>
        <v>8</v>
      </c>
      <c r="D94" s="7">
        <v>2</v>
      </c>
      <c r="E94" s="7">
        <v>1</v>
      </c>
      <c r="F94" s="7" t="s">
        <v>40</v>
      </c>
      <c r="G94" s="7">
        <v>10</v>
      </c>
      <c r="H94" s="7">
        <v>10</v>
      </c>
      <c r="I94" s="7">
        <f t="shared" si="45"/>
        <v>1</v>
      </c>
      <c r="J94" s="7">
        <v>4</v>
      </c>
      <c r="L94" s="7">
        <v>60</v>
      </c>
      <c r="M94" s="7">
        <v>1.879</v>
      </c>
      <c r="N94" s="7">
        <v>31.585999999999999</v>
      </c>
      <c r="O94" s="7">
        <f t="shared" si="41"/>
        <v>29.706999999999997</v>
      </c>
      <c r="P94" s="7">
        <v>18.035</v>
      </c>
      <c r="Q94" s="7">
        <f t="shared" si="42"/>
        <v>16.155999999999999</v>
      </c>
      <c r="R94" s="7">
        <f t="shared" si="60"/>
        <v>13.550999999999998</v>
      </c>
      <c r="S94" s="8">
        <f t="shared" si="61"/>
        <v>45.615511495607095</v>
      </c>
      <c r="T94" s="7">
        <v>3</v>
      </c>
      <c r="U94" s="7">
        <v>28.9649</v>
      </c>
      <c r="V94" s="7">
        <v>32.54</v>
      </c>
      <c r="W94" s="7">
        <f t="shared" si="62"/>
        <v>3.5750999999999991</v>
      </c>
      <c r="X94" s="7">
        <f t="shared" si="63"/>
        <v>3575.099999999999</v>
      </c>
      <c r="Y94" s="7">
        <v>32.216299999999997</v>
      </c>
      <c r="Z94" s="7">
        <f t="shared" si="64"/>
        <v>3.2513999999999967</v>
      </c>
      <c r="AA94" s="7">
        <f t="shared" si="43"/>
        <v>3251.3999999999969</v>
      </c>
      <c r="AB94" s="7">
        <f t="shared" si="65"/>
        <v>323.70000000000209</v>
      </c>
      <c r="AC94" s="7">
        <v>1.0090025504668434</v>
      </c>
      <c r="AD94" s="7">
        <f t="shared" si="58"/>
        <v>9.0542921876311766</v>
      </c>
      <c r="AE94" s="7">
        <f t="shared" si="66"/>
        <v>5.6595451875472236</v>
      </c>
      <c r="AF94" s="7">
        <f t="shared" si="68"/>
        <v>5.7104955287174977E-2</v>
      </c>
      <c r="AG94" s="7">
        <f t="shared" si="69"/>
        <v>0.57104955287174974</v>
      </c>
      <c r="AH94" s="7">
        <v>10</v>
      </c>
      <c r="AI94" s="7">
        <f>AG94</f>
        <v>0.57104955287174974</v>
      </c>
      <c r="AJ94" s="7">
        <f t="shared" si="67"/>
        <v>5.7104955287174977E-2</v>
      </c>
    </row>
    <row r="95" spans="1:37" s="7" customFormat="1" x14ac:dyDescent="0.2">
      <c r="A95" s="7" t="s">
        <v>49</v>
      </c>
      <c r="B95" s="7">
        <v>2017</v>
      </c>
      <c r="C95" s="7">
        <f t="shared" si="59"/>
        <v>8</v>
      </c>
      <c r="D95" s="7">
        <v>2</v>
      </c>
      <c r="E95" s="7">
        <v>2</v>
      </c>
      <c r="F95" s="9" t="s">
        <v>41</v>
      </c>
      <c r="G95" s="7">
        <v>50</v>
      </c>
      <c r="H95" s="7">
        <v>18</v>
      </c>
      <c r="I95" s="7">
        <f t="shared" si="45"/>
        <v>0.36</v>
      </c>
      <c r="J95" s="7">
        <v>4</v>
      </c>
      <c r="L95" s="7">
        <v>61</v>
      </c>
      <c r="M95" s="7">
        <v>1.887</v>
      </c>
      <c r="N95" s="7">
        <v>35.898000000000003</v>
      </c>
      <c r="O95" s="7">
        <f t="shared" si="41"/>
        <v>34.011000000000003</v>
      </c>
      <c r="P95" s="7">
        <v>19.742999999999999</v>
      </c>
      <c r="Q95" s="7">
        <f t="shared" si="42"/>
        <v>17.855999999999998</v>
      </c>
      <c r="R95" s="7">
        <f t="shared" si="60"/>
        <v>16.155000000000005</v>
      </c>
      <c r="S95" s="8">
        <f t="shared" si="61"/>
        <v>47.499338449325229</v>
      </c>
      <c r="T95" s="7">
        <v>9</v>
      </c>
      <c r="U95" s="7">
        <v>30.433</v>
      </c>
      <c r="V95" s="7">
        <v>34.081800000000001</v>
      </c>
      <c r="W95" s="7">
        <f t="shared" si="62"/>
        <v>3.6488000000000014</v>
      </c>
      <c r="X95" s="7">
        <f t="shared" si="63"/>
        <v>3648.8000000000015</v>
      </c>
      <c r="Y95" s="7">
        <v>33.815600000000003</v>
      </c>
      <c r="Z95" s="7">
        <f t="shared" si="64"/>
        <v>3.3826000000000036</v>
      </c>
      <c r="AA95" s="7">
        <f t="shared" si="43"/>
        <v>3382.6000000000035</v>
      </c>
      <c r="AB95" s="7">
        <f t="shared" si="65"/>
        <v>266.199999999998</v>
      </c>
      <c r="AC95" s="7">
        <v>0.91301222541454419</v>
      </c>
      <c r="AD95" s="7">
        <f t="shared" si="58"/>
        <v>7.295549221661858</v>
      </c>
      <c r="AE95" s="7">
        <f t="shared" si="66"/>
        <v>5.0263977197982683</v>
      </c>
      <c r="AF95" s="7">
        <f t="shared" si="68"/>
        <v>4.5891625679716073E-2</v>
      </c>
      <c r="AG95" s="7">
        <f t="shared" si="69"/>
        <v>2.2945812839858037</v>
      </c>
      <c r="AH95" s="7">
        <v>25</v>
      </c>
      <c r="AI95" s="7">
        <f>AG95-(AI96+AI97)</f>
        <v>1.1014032580017419</v>
      </c>
      <c r="AJ95" s="7">
        <f t="shared" si="67"/>
        <v>4.4056130320069678E-2</v>
      </c>
      <c r="AK95" s="7" t="s">
        <v>52</v>
      </c>
    </row>
    <row r="96" spans="1:37" s="7" customFormat="1" x14ac:dyDescent="0.2">
      <c r="A96" s="7" t="s">
        <v>49</v>
      </c>
      <c r="B96" s="7">
        <v>2017</v>
      </c>
      <c r="C96" s="7">
        <f t="shared" si="59"/>
        <v>8</v>
      </c>
      <c r="D96" s="7">
        <v>2</v>
      </c>
      <c r="E96" s="7">
        <v>2</v>
      </c>
      <c r="F96" s="7" t="s">
        <v>39</v>
      </c>
      <c r="G96" s="7">
        <v>25</v>
      </c>
      <c r="H96" s="7">
        <v>18</v>
      </c>
      <c r="I96" s="7">
        <f t="shared" si="45"/>
        <v>0.72</v>
      </c>
      <c r="J96" s="7">
        <v>4</v>
      </c>
      <c r="L96" s="7">
        <v>62</v>
      </c>
      <c r="M96" s="7">
        <v>1.8819999999999999</v>
      </c>
      <c r="N96" s="7">
        <v>33.582000000000001</v>
      </c>
      <c r="O96" s="7">
        <f t="shared" si="41"/>
        <v>31.7</v>
      </c>
      <c r="P96" s="7">
        <v>20.844999999999999</v>
      </c>
      <c r="Q96" s="7">
        <f t="shared" si="42"/>
        <v>18.962999999999997</v>
      </c>
      <c r="R96" s="7">
        <f t="shared" si="60"/>
        <v>12.737000000000002</v>
      </c>
      <c r="S96" s="8">
        <f t="shared" si="61"/>
        <v>40.179810725552059</v>
      </c>
      <c r="T96" s="7">
        <v>6</v>
      </c>
      <c r="U96" s="7">
        <v>30.164100000000001</v>
      </c>
      <c r="V96" s="7">
        <v>33.5717</v>
      </c>
      <c r="W96" s="7">
        <f t="shared" si="62"/>
        <v>3.4075999999999986</v>
      </c>
      <c r="X96" s="7">
        <f t="shared" si="63"/>
        <v>3407.5999999999985</v>
      </c>
      <c r="Y96" s="7">
        <v>33.334200000000003</v>
      </c>
      <c r="Z96" s="7">
        <f t="shared" si="64"/>
        <v>3.1701000000000015</v>
      </c>
      <c r="AA96" s="7">
        <f t="shared" si="43"/>
        <v>3170.1000000000013</v>
      </c>
      <c r="AB96" s="7">
        <f t="shared" si="65"/>
        <v>237.49999999999727</v>
      </c>
      <c r="AC96" s="7">
        <v>0.97221786424472922</v>
      </c>
      <c r="AD96" s="7">
        <f t="shared" si="58"/>
        <v>6.9697147552528875</v>
      </c>
      <c r="AE96" s="7">
        <f t="shared" si="66"/>
        <v>4.9090973118910393</v>
      </c>
      <c r="AF96" s="7">
        <f t="shared" si="68"/>
        <v>4.7727121039362476E-2</v>
      </c>
      <c r="AG96" s="7">
        <f t="shared" si="69"/>
        <v>1.1931780259840619</v>
      </c>
      <c r="AH96" s="7">
        <v>15</v>
      </c>
      <c r="AI96" s="7">
        <f>AG96-AG97</f>
        <v>0.70224238969997144</v>
      </c>
      <c r="AJ96" s="7">
        <f t="shared" si="67"/>
        <v>4.6816159313331426E-2</v>
      </c>
    </row>
    <row r="97" spans="1:37" s="7" customFormat="1" x14ac:dyDescent="0.2">
      <c r="A97" s="7" t="s">
        <v>49</v>
      </c>
      <c r="B97" s="7">
        <v>2017</v>
      </c>
      <c r="C97" s="7">
        <f t="shared" si="59"/>
        <v>8</v>
      </c>
      <c r="D97" s="7">
        <v>2</v>
      </c>
      <c r="E97" s="7">
        <v>2</v>
      </c>
      <c r="F97" s="7" t="s">
        <v>40</v>
      </c>
      <c r="G97" s="7">
        <v>10</v>
      </c>
      <c r="H97" s="7">
        <v>10</v>
      </c>
      <c r="I97" s="7">
        <f t="shared" si="45"/>
        <v>1</v>
      </c>
      <c r="J97" s="7">
        <v>4</v>
      </c>
      <c r="L97" s="7">
        <v>63</v>
      </c>
      <c r="M97" s="7">
        <v>1.879</v>
      </c>
      <c r="N97" s="7">
        <v>36.164000000000001</v>
      </c>
      <c r="O97" s="7">
        <f t="shared" si="41"/>
        <v>34.285000000000004</v>
      </c>
      <c r="P97" s="7">
        <v>23.641999999999999</v>
      </c>
      <c r="Q97" s="7">
        <f t="shared" si="42"/>
        <v>21.762999999999998</v>
      </c>
      <c r="R97" s="7">
        <f t="shared" si="60"/>
        <v>12.522000000000006</v>
      </c>
      <c r="S97" s="8">
        <f t="shared" si="61"/>
        <v>36.523260901268792</v>
      </c>
      <c r="T97" s="7">
        <v>16</v>
      </c>
      <c r="U97" s="7">
        <v>28.4528</v>
      </c>
      <c r="V97" s="7">
        <v>32.161499999999997</v>
      </c>
      <c r="W97" s="7">
        <f t="shared" si="62"/>
        <v>3.7086999999999968</v>
      </c>
      <c r="X97" s="7">
        <f t="shared" si="63"/>
        <v>3708.6999999999966</v>
      </c>
      <c r="Y97" s="7">
        <v>31.907499999999999</v>
      </c>
      <c r="Z97" s="7">
        <f t="shared" si="64"/>
        <v>3.454699999999999</v>
      </c>
      <c r="AA97" s="7">
        <f t="shared" si="43"/>
        <v>3454.6999999999989</v>
      </c>
      <c r="AB97" s="7">
        <f t="shared" si="65"/>
        <v>253.99999999999773</v>
      </c>
      <c r="AC97" s="7">
        <v>1.0090025504668434</v>
      </c>
      <c r="AD97" s="7">
        <f t="shared" si="58"/>
        <v>6.8487610213821011</v>
      </c>
      <c r="AE97" s="7">
        <f t="shared" si="66"/>
        <v>4.8655539676975561</v>
      </c>
      <c r="AF97" s="7">
        <f t="shared" si="68"/>
        <v>4.909356362840904E-2</v>
      </c>
      <c r="AG97" s="7">
        <f t="shared" si="69"/>
        <v>0.49093563628409043</v>
      </c>
      <c r="AH97" s="7">
        <v>10</v>
      </c>
      <c r="AI97" s="7">
        <f>AG97</f>
        <v>0.49093563628409043</v>
      </c>
      <c r="AJ97" s="7">
        <f t="shared" si="67"/>
        <v>4.909356362840904E-2</v>
      </c>
      <c r="AK97" s="7" t="s">
        <v>53</v>
      </c>
    </row>
    <row r="98" spans="1:37" s="7" customFormat="1" x14ac:dyDescent="0.2">
      <c r="A98" s="7" t="s">
        <v>49</v>
      </c>
      <c r="B98" s="7">
        <v>2017</v>
      </c>
      <c r="C98" s="7">
        <f t="shared" si="59"/>
        <v>8</v>
      </c>
      <c r="D98" s="7">
        <v>2</v>
      </c>
      <c r="E98" s="7">
        <v>3</v>
      </c>
      <c r="F98" s="7" t="s">
        <v>41</v>
      </c>
      <c r="G98" s="7">
        <v>50</v>
      </c>
      <c r="H98" s="7">
        <v>16</v>
      </c>
      <c r="I98" s="7">
        <f t="shared" si="45"/>
        <v>0.32</v>
      </c>
      <c r="J98" s="7">
        <v>4</v>
      </c>
      <c r="L98" s="7">
        <v>64</v>
      </c>
      <c r="M98" s="7">
        <v>1.893</v>
      </c>
      <c r="N98" s="7">
        <v>35.481999999999999</v>
      </c>
      <c r="O98" s="7">
        <f t="shared" si="41"/>
        <v>33.588999999999999</v>
      </c>
      <c r="P98" s="7">
        <v>19.297000000000001</v>
      </c>
      <c r="Q98" s="7">
        <f t="shared" si="42"/>
        <v>17.404</v>
      </c>
      <c r="R98" s="7">
        <f t="shared" si="60"/>
        <v>16.184999999999999</v>
      </c>
      <c r="S98" s="8">
        <f t="shared" si="61"/>
        <v>48.185417845127866</v>
      </c>
      <c r="T98" s="7">
        <v>5</v>
      </c>
      <c r="U98" s="7">
        <v>22.167100000000001</v>
      </c>
      <c r="V98" s="7">
        <v>24.8886</v>
      </c>
      <c r="W98" s="7">
        <f t="shared" si="62"/>
        <v>2.7214999999999989</v>
      </c>
      <c r="X98" s="7">
        <f t="shared" si="63"/>
        <v>2721.4999999999991</v>
      </c>
      <c r="Y98" s="7">
        <v>24.610399999999998</v>
      </c>
      <c r="Z98" s="7">
        <f t="shared" si="64"/>
        <v>2.4432999999999971</v>
      </c>
      <c r="AA98" s="7">
        <f t="shared" si="43"/>
        <v>2443.299999999997</v>
      </c>
      <c r="AB98" s="7">
        <f t="shared" si="65"/>
        <v>278.20000000000209</v>
      </c>
      <c r="AC98" s="7">
        <v>0.91301222541454419</v>
      </c>
      <c r="AD98" s="7">
        <f t="shared" si="58"/>
        <v>10.222303876538753</v>
      </c>
      <c r="AE98" s="7">
        <f t="shared" si="66"/>
        <v>6.0800293955539502</v>
      </c>
      <c r="AF98" s="7">
        <f t="shared" si="68"/>
        <v>5.5511411690205577E-2</v>
      </c>
      <c r="AG98" s="7">
        <f t="shared" si="69"/>
        <v>2.7755705845102789</v>
      </c>
      <c r="AH98" s="7">
        <v>25</v>
      </c>
      <c r="AI98" s="7">
        <f>AG98-(AI99+AI100)</f>
        <v>-1.3658504776958282</v>
      </c>
      <c r="AJ98" s="7">
        <f t="shared" si="67"/>
        <v>-5.463401910783313E-2</v>
      </c>
      <c r="AK98" s="7" t="s">
        <v>54</v>
      </c>
    </row>
    <row r="99" spans="1:37" s="7" customFormat="1" x14ac:dyDescent="0.2">
      <c r="A99" s="7" t="s">
        <v>49</v>
      </c>
      <c r="B99" s="7">
        <v>2017</v>
      </c>
      <c r="C99" s="7">
        <f t="shared" si="59"/>
        <v>8</v>
      </c>
      <c r="D99" s="7">
        <v>2</v>
      </c>
      <c r="E99" s="7">
        <v>3</v>
      </c>
      <c r="F99" s="7" t="s">
        <v>39</v>
      </c>
      <c r="G99" s="7">
        <v>25</v>
      </c>
      <c r="H99" s="7">
        <v>19.5</v>
      </c>
      <c r="I99" s="7">
        <f t="shared" si="45"/>
        <v>0.78</v>
      </c>
      <c r="J99" s="7">
        <v>4</v>
      </c>
      <c r="L99" s="7">
        <v>65</v>
      </c>
      <c r="M99" s="7">
        <v>1.895</v>
      </c>
      <c r="N99" s="7">
        <v>33.335000000000001</v>
      </c>
      <c r="O99" s="7">
        <f t="shared" si="41"/>
        <v>31.44</v>
      </c>
      <c r="P99" s="7">
        <v>17.021000000000001</v>
      </c>
      <c r="Q99" s="7">
        <f t="shared" si="42"/>
        <v>15.126000000000001</v>
      </c>
      <c r="R99" s="7">
        <f t="shared" si="60"/>
        <v>16.314</v>
      </c>
      <c r="S99" s="8">
        <f t="shared" si="61"/>
        <v>51.88931297709923</v>
      </c>
      <c r="T99" s="7">
        <v>18</v>
      </c>
      <c r="U99" s="7">
        <v>27.3673</v>
      </c>
      <c r="V99" s="7">
        <v>30.270600000000002</v>
      </c>
      <c r="W99" s="7">
        <f t="shared" si="62"/>
        <v>2.9033000000000015</v>
      </c>
      <c r="X99" s="7">
        <f t="shared" si="63"/>
        <v>2903.3000000000015</v>
      </c>
      <c r="Y99" s="7">
        <v>29.09</v>
      </c>
      <c r="Z99" s="7">
        <f t="shared" si="64"/>
        <v>1.7226999999999997</v>
      </c>
      <c r="AA99" s="7">
        <f t="shared" si="43"/>
        <v>1722.6999999999996</v>
      </c>
      <c r="AB99" s="7">
        <f>X99-AA99</f>
        <v>1180.600000000002</v>
      </c>
      <c r="AC99" s="7">
        <v>0.97221786424472922</v>
      </c>
      <c r="AD99" s="7">
        <f t="shared" si="58"/>
        <v>40.664071918162136</v>
      </c>
      <c r="AE99" s="7">
        <f t="shared" si="66"/>
        <v>17.039065890538367</v>
      </c>
      <c r="AF99" s="7">
        <f t="shared" si="68"/>
        <v>0.16565684248824428</v>
      </c>
      <c r="AG99" s="7">
        <f t="shared" si="69"/>
        <v>4.1414210622061072</v>
      </c>
      <c r="AH99" s="7">
        <v>15</v>
      </c>
      <c r="AI99" s="7">
        <f>AG99-AG100</f>
        <v>3.5063646584827248</v>
      </c>
      <c r="AJ99" s="7">
        <f t="shared" si="67"/>
        <v>0.23375764389884832</v>
      </c>
    </row>
    <row r="100" spans="1:37" s="7" customFormat="1" x14ac:dyDescent="0.2">
      <c r="A100" s="7" t="s">
        <v>49</v>
      </c>
      <c r="B100" s="7">
        <v>2017</v>
      </c>
      <c r="C100" s="7">
        <f t="shared" si="59"/>
        <v>8</v>
      </c>
      <c r="D100" s="7">
        <v>2</v>
      </c>
      <c r="E100" s="7">
        <v>3</v>
      </c>
      <c r="F100" s="7" t="s">
        <v>40</v>
      </c>
      <c r="G100" s="7">
        <v>10</v>
      </c>
      <c r="H100" s="7">
        <v>10</v>
      </c>
      <c r="I100" s="7">
        <f t="shared" si="45"/>
        <v>1</v>
      </c>
      <c r="J100" s="7">
        <v>4</v>
      </c>
      <c r="L100" s="7">
        <v>66</v>
      </c>
      <c r="M100" s="7">
        <v>1.879</v>
      </c>
      <c r="N100" s="7">
        <v>34.139000000000003</v>
      </c>
      <c r="O100" s="7">
        <f t="shared" si="41"/>
        <v>32.260000000000005</v>
      </c>
      <c r="P100" s="7">
        <v>17.376999999999999</v>
      </c>
      <c r="Q100" s="7">
        <f t="shared" si="42"/>
        <v>15.497999999999999</v>
      </c>
      <c r="R100" s="7">
        <f t="shared" si="60"/>
        <v>16.762000000000008</v>
      </c>
      <c r="S100" s="8">
        <f t="shared" si="61"/>
        <v>51.959082455052709</v>
      </c>
      <c r="T100" s="7">
        <v>11</v>
      </c>
      <c r="U100" s="7">
        <v>27.4434</v>
      </c>
      <c r="V100" s="7">
        <v>30.346399999999999</v>
      </c>
      <c r="W100" s="7">
        <f t="shared" si="62"/>
        <v>2.9029999999999987</v>
      </c>
      <c r="X100" s="7">
        <f t="shared" si="63"/>
        <v>2902.9999999999986</v>
      </c>
      <c r="Y100" s="7">
        <v>30.032399999999999</v>
      </c>
      <c r="Z100" s="7">
        <f t="shared" si="64"/>
        <v>2.5889999999999986</v>
      </c>
      <c r="AA100" s="7">
        <f t="shared" si="43"/>
        <v>2588.9999999999986</v>
      </c>
      <c r="AB100" s="7">
        <f t="shared" si="65"/>
        <v>314</v>
      </c>
      <c r="AC100" s="7">
        <v>1.0090025504668434</v>
      </c>
      <c r="AD100" s="7">
        <f t="shared" si="58"/>
        <v>10.816396830864628</v>
      </c>
      <c r="AE100" s="7">
        <f t="shared" si="66"/>
        <v>6.2939028591112658</v>
      </c>
      <c r="AF100" s="7">
        <f t="shared" si="68"/>
        <v>6.3505640372338246E-2</v>
      </c>
      <c r="AG100" s="7">
        <f t="shared" si="69"/>
        <v>0.63505640372338246</v>
      </c>
      <c r="AH100" s="7">
        <v>10</v>
      </c>
      <c r="AI100" s="7">
        <f>AG100</f>
        <v>0.63505640372338246</v>
      </c>
      <c r="AJ100" s="7">
        <f t="shared" si="67"/>
        <v>6.3505640372338246E-2</v>
      </c>
    </row>
    <row r="101" spans="1:37" x14ac:dyDescent="0.2">
      <c r="A101" t="s">
        <v>55</v>
      </c>
      <c r="B101">
        <v>2025</v>
      </c>
      <c r="C101">
        <f>2025-B101</f>
        <v>0</v>
      </c>
      <c r="D101">
        <v>1</v>
      </c>
      <c r="E101">
        <v>1</v>
      </c>
      <c r="F101" t="s">
        <v>38</v>
      </c>
      <c r="G101">
        <v>50</v>
      </c>
      <c r="H101">
        <v>14</v>
      </c>
      <c r="I101">
        <f>H101/G101</f>
        <v>0.28000000000000003</v>
      </c>
      <c r="J101">
        <v>4</v>
      </c>
      <c r="L101">
        <v>1</v>
      </c>
      <c r="M101">
        <v>1.8680000000000001</v>
      </c>
      <c r="N101">
        <v>35.682000000000002</v>
      </c>
      <c r="O101">
        <f t="shared" si="41"/>
        <v>33.814</v>
      </c>
      <c r="P101">
        <v>8.2119999999999997</v>
      </c>
      <c r="Q101">
        <f t="shared" si="42"/>
        <v>6.3439999999999994</v>
      </c>
      <c r="R101">
        <f>O101-Q101</f>
        <v>27.47</v>
      </c>
      <c r="S101">
        <f>((O101-Q101)/O101)*100</f>
        <v>81.23854024960076</v>
      </c>
      <c r="T101">
        <v>1</v>
      </c>
      <c r="U101">
        <v>27.968599999999999</v>
      </c>
      <c r="V101">
        <v>30.301300000000001</v>
      </c>
      <c r="W101">
        <f>V101-U101</f>
        <v>2.3327000000000027</v>
      </c>
      <c r="X101">
        <f>W101*1000</f>
        <v>2332.7000000000025</v>
      </c>
      <c r="Y101">
        <v>28.4863</v>
      </c>
      <c r="Z101">
        <f>Y101-U101</f>
        <v>0.51770000000000138</v>
      </c>
      <c r="AA101">
        <f t="shared" si="43"/>
        <v>517.70000000000141</v>
      </c>
      <c r="AB101">
        <f>X101-AA101</f>
        <v>1815.0000000000011</v>
      </c>
      <c r="AC101">
        <v>0.24107995004844848</v>
      </c>
      <c r="AD101">
        <f t="shared" si="58"/>
        <v>77.806833283319719</v>
      </c>
      <c r="AE101">
        <f>0.36*AD101+2.4</f>
        <v>30.410459981995096</v>
      </c>
      <c r="AF101">
        <f t="shared" si="68"/>
        <v>7.3313521734097192E-2</v>
      </c>
      <c r="AG101">
        <f t="shared" si="69"/>
        <v>3.6656760867048597</v>
      </c>
      <c r="AH101">
        <v>25</v>
      </c>
      <c r="AI101" s="5">
        <f>AG101-(AI102+AI103)</f>
        <v>2.0717135844883603</v>
      </c>
      <c r="AJ101">
        <f>AI101/AH101</f>
        <v>8.2868543379534407E-2</v>
      </c>
    </row>
    <row r="102" spans="1:37" x14ac:dyDescent="0.2">
      <c r="A102" t="s">
        <v>55</v>
      </c>
      <c r="B102">
        <v>2025</v>
      </c>
      <c r="C102">
        <f t="shared" ref="C102:C109" si="70">2025-B102</f>
        <v>0</v>
      </c>
      <c r="D102">
        <v>1</v>
      </c>
      <c r="E102">
        <v>1</v>
      </c>
      <c r="F102" t="s">
        <v>39</v>
      </c>
      <c r="G102">
        <v>25</v>
      </c>
      <c r="H102">
        <v>11</v>
      </c>
      <c r="I102">
        <f t="shared" ref="I102:I109" si="71">H102/G102</f>
        <v>0.44</v>
      </c>
      <c r="J102">
        <v>4</v>
      </c>
      <c r="L102">
        <v>2</v>
      </c>
      <c r="M102">
        <v>1.87</v>
      </c>
      <c r="N102">
        <v>33.213999999999999</v>
      </c>
      <c r="O102">
        <f t="shared" si="41"/>
        <v>31.343999999999998</v>
      </c>
      <c r="P102">
        <v>8.07</v>
      </c>
      <c r="Q102">
        <f t="shared" si="42"/>
        <v>6.2</v>
      </c>
      <c r="R102">
        <f t="shared" ref="R102:R109" si="72">O102-Q102</f>
        <v>25.143999999999998</v>
      </c>
      <c r="S102">
        <f t="shared" ref="S102:S109" si="73">((O102-Q102)/O102)*100</f>
        <v>80.219499744767745</v>
      </c>
      <c r="T102">
        <v>6</v>
      </c>
      <c r="U102">
        <v>30.164300000000001</v>
      </c>
      <c r="V102">
        <v>32.866199999999999</v>
      </c>
      <c r="W102">
        <f t="shared" ref="W102:W108" si="74">V102-U102</f>
        <v>2.7018999999999984</v>
      </c>
      <c r="X102">
        <f t="shared" ref="X102:X108" si="75">W102*1000</f>
        <v>2701.8999999999983</v>
      </c>
      <c r="Y102">
        <v>30.791399999999999</v>
      </c>
      <c r="Z102">
        <f t="shared" ref="Z102:Z108" si="76">Y102-U102</f>
        <v>0.62709999999999866</v>
      </c>
      <c r="AA102">
        <f t="shared" si="43"/>
        <v>627.09999999999866</v>
      </c>
      <c r="AB102">
        <f t="shared" ref="AB102:AB108" si="77">X102-AA102</f>
        <v>2074.7999999999997</v>
      </c>
      <c r="AC102">
        <v>0.21221322224515593</v>
      </c>
      <c r="AD102">
        <f t="shared" si="58"/>
        <v>76.790406750805033</v>
      </c>
      <c r="AE102">
        <f t="shared" ref="AE102:AE108" si="78">0.36*AD102+2.4</f>
        <v>30.04454643028981</v>
      </c>
      <c r="AF102">
        <f t="shared" si="68"/>
        <v>6.3758500088659978E-2</v>
      </c>
      <c r="AG102">
        <f t="shared" si="69"/>
        <v>1.5939625022164994</v>
      </c>
      <c r="AH102">
        <v>15</v>
      </c>
      <c r="AI102" s="5">
        <f>AG102-AG103</f>
        <v>1.1866730539379406</v>
      </c>
      <c r="AJ102">
        <f t="shared" ref="AJ102:AJ108" si="79">AI102/AH102</f>
        <v>7.911153692919605E-2</v>
      </c>
    </row>
    <row r="103" spans="1:37" x14ac:dyDescent="0.2">
      <c r="A103" t="s">
        <v>55</v>
      </c>
      <c r="B103">
        <v>2025</v>
      </c>
      <c r="C103">
        <f t="shared" si="70"/>
        <v>0</v>
      </c>
      <c r="D103">
        <v>1</v>
      </c>
      <c r="E103">
        <v>1</v>
      </c>
      <c r="F103" t="s">
        <v>40</v>
      </c>
      <c r="G103">
        <v>10</v>
      </c>
      <c r="H103">
        <v>8</v>
      </c>
      <c r="I103">
        <f t="shared" si="71"/>
        <v>0.8</v>
      </c>
      <c r="J103">
        <v>4</v>
      </c>
      <c r="L103">
        <v>3</v>
      </c>
      <c r="M103">
        <v>1.879</v>
      </c>
      <c r="N103">
        <v>30.547999999999998</v>
      </c>
      <c r="O103">
        <f t="shared" si="41"/>
        <v>28.668999999999997</v>
      </c>
      <c r="P103">
        <v>6.3860000000000001</v>
      </c>
      <c r="Q103">
        <f t="shared" si="42"/>
        <v>4.5069999999999997</v>
      </c>
      <c r="R103">
        <f t="shared" si="72"/>
        <v>24.161999999999999</v>
      </c>
      <c r="S103">
        <f t="shared" si="73"/>
        <v>84.279186577836697</v>
      </c>
      <c r="T103">
        <v>15</v>
      </c>
      <c r="U103">
        <v>27.8385</v>
      </c>
      <c r="V103">
        <v>30.345199999999998</v>
      </c>
      <c r="W103">
        <f t="shared" si="74"/>
        <v>2.5066999999999986</v>
      </c>
      <c r="X103">
        <f t="shared" si="75"/>
        <v>2506.6999999999985</v>
      </c>
      <c r="Y103">
        <v>28.4541</v>
      </c>
      <c r="Z103">
        <f>Y103-U103</f>
        <v>0.61560000000000059</v>
      </c>
      <c r="AA103">
        <f t="shared" si="43"/>
        <v>615.60000000000059</v>
      </c>
      <c r="AB103">
        <f t="shared" si="77"/>
        <v>1891.0999999999979</v>
      </c>
      <c r="AC103">
        <v>0.13778839198180839</v>
      </c>
      <c r="AD103">
        <f t="shared" si="58"/>
        <v>75.441815933298713</v>
      </c>
      <c r="AE103">
        <f t="shared" si="78"/>
        <v>29.559053735987533</v>
      </c>
      <c r="AF103">
        <f t="shared" si="68"/>
        <v>4.0728944827855884E-2</v>
      </c>
      <c r="AG103">
        <f t="shared" si="69"/>
        <v>0.40728944827855884</v>
      </c>
      <c r="AH103">
        <v>10</v>
      </c>
      <c r="AI103">
        <f t="shared" ref="AI103" si="80">AG103</f>
        <v>0.40728944827855884</v>
      </c>
      <c r="AJ103">
        <f t="shared" si="79"/>
        <v>4.0728944827855884E-2</v>
      </c>
    </row>
    <row r="104" spans="1:37" x14ac:dyDescent="0.2">
      <c r="A104" t="s">
        <v>55</v>
      </c>
      <c r="B104">
        <v>2025</v>
      </c>
      <c r="C104">
        <f t="shared" si="70"/>
        <v>0</v>
      </c>
      <c r="D104">
        <v>1</v>
      </c>
      <c r="E104">
        <v>2</v>
      </c>
      <c r="F104" s="3" t="s">
        <v>41</v>
      </c>
      <c r="G104">
        <v>50</v>
      </c>
      <c r="H104">
        <v>24</v>
      </c>
      <c r="I104">
        <f t="shared" si="71"/>
        <v>0.48</v>
      </c>
      <c r="J104">
        <v>4</v>
      </c>
      <c r="L104">
        <v>4</v>
      </c>
      <c r="M104">
        <v>1.887</v>
      </c>
      <c r="N104">
        <v>28.922000000000001</v>
      </c>
      <c r="O104">
        <f t="shared" si="41"/>
        <v>27.035</v>
      </c>
      <c r="P104">
        <v>6.5289999999999999</v>
      </c>
      <c r="Q104">
        <f t="shared" si="42"/>
        <v>4.6419999999999995</v>
      </c>
      <c r="R104">
        <f t="shared" si="72"/>
        <v>22.393000000000001</v>
      </c>
      <c r="S104">
        <f t="shared" si="73"/>
        <v>82.82966524875161</v>
      </c>
      <c r="T104">
        <v>8</v>
      </c>
      <c r="U104">
        <v>27.346</v>
      </c>
      <c r="V104">
        <v>29.743400000000001</v>
      </c>
      <c r="W104">
        <f t="shared" si="74"/>
        <v>2.3974000000000011</v>
      </c>
      <c r="X104">
        <f t="shared" si="75"/>
        <v>2397.400000000001</v>
      </c>
      <c r="Y104">
        <v>27.889199999999999</v>
      </c>
      <c r="Z104">
        <f t="shared" si="76"/>
        <v>0.54319999999999879</v>
      </c>
      <c r="AA104">
        <f t="shared" si="43"/>
        <v>543.19999999999879</v>
      </c>
      <c r="AB104">
        <f t="shared" si="77"/>
        <v>1854.2000000000021</v>
      </c>
      <c r="AC104">
        <v>0.24107995004844848</v>
      </c>
      <c r="AD104">
        <f t="shared" si="58"/>
        <v>77.342120630683297</v>
      </c>
      <c r="AE104">
        <f t="shared" si="78"/>
        <v>30.243163427045985</v>
      </c>
      <c r="AF104">
        <f t="shared" si="68"/>
        <v>7.2910203282993094E-2</v>
      </c>
      <c r="AG104">
        <f t="shared" si="69"/>
        <v>3.6455101641496546</v>
      </c>
      <c r="AH104">
        <v>25</v>
      </c>
      <c r="AI104" s="5">
        <f>AG104-(AI105+AI106)</f>
        <v>2.0571990508968088</v>
      </c>
      <c r="AJ104">
        <f t="shared" si="79"/>
        <v>8.2287962035872353E-2</v>
      </c>
    </row>
    <row r="105" spans="1:37" x14ac:dyDescent="0.2">
      <c r="A105" t="s">
        <v>55</v>
      </c>
      <c r="B105">
        <v>2025</v>
      </c>
      <c r="C105">
        <f t="shared" si="70"/>
        <v>0</v>
      </c>
      <c r="D105">
        <v>1</v>
      </c>
      <c r="E105">
        <v>2</v>
      </c>
      <c r="F105" t="s">
        <v>39</v>
      </c>
      <c r="G105">
        <v>25</v>
      </c>
      <c r="H105">
        <v>18</v>
      </c>
      <c r="I105">
        <f t="shared" si="71"/>
        <v>0.72</v>
      </c>
      <c r="J105">
        <v>4</v>
      </c>
      <c r="L105">
        <v>5</v>
      </c>
      <c r="M105">
        <v>1.893</v>
      </c>
      <c r="N105">
        <v>32.536999999999999</v>
      </c>
      <c r="O105">
        <f t="shared" si="41"/>
        <v>30.643999999999998</v>
      </c>
      <c r="P105">
        <v>6.83</v>
      </c>
      <c r="Q105">
        <f t="shared" si="42"/>
        <v>4.9370000000000003</v>
      </c>
      <c r="R105">
        <f t="shared" si="72"/>
        <v>25.706999999999997</v>
      </c>
      <c r="S105">
        <f t="shared" si="73"/>
        <v>83.889178958360517</v>
      </c>
      <c r="T105">
        <v>13</v>
      </c>
      <c r="U105">
        <v>22.196400000000001</v>
      </c>
      <c r="V105">
        <v>24.901299999999999</v>
      </c>
      <c r="W105">
        <f t="shared" si="74"/>
        <v>2.7048999999999985</v>
      </c>
      <c r="X105">
        <f t="shared" si="75"/>
        <v>2704.8999999999987</v>
      </c>
      <c r="Y105">
        <v>22.8322</v>
      </c>
      <c r="Z105">
        <f t="shared" si="76"/>
        <v>0.6357999999999997</v>
      </c>
      <c r="AA105">
        <f t="shared" si="43"/>
        <v>635.79999999999973</v>
      </c>
      <c r="AB105">
        <f t="shared" si="77"/>
        <v>2069.099999999999</v>
      </c>
      <c r="AC105">
        <v>0.21221322224515593</v>
      </c>
      <c r="AD105">
        <f t="shared" si="58"/>
        <v>76.494509963399764</v>
      </c>
      <c r="AE105">
        <f t="shared" si="78"/>
        <v>29.938023586823913</v>
      </c>
      <c r="AF105">
        <f t="shared" si="68"/>
        <v>6.3532444530113835E-2</v>
      </c>
      <c r="AG105">
        <f t="shared" si="69"/>
        <v>1.5883111132528458</v>
      </c>
      <c r="AH105">
        <v>15</v>
      </c>
      <c r="AI105" s="5">
        <f t="shared" ref="AI105" si="81">AG105-AG106</f>
        <v>1.1902233605357688</v>
      </c>
      <c r="AJ105">
        <f t="shared" si="79"/>
        <v>7.9348224035717924E-2</v>
      </c>
      <c r="AK105" t="s">
        <v>56</v>
      </c>
    </row>
    <row r="106" spans="1:37" x14ac:dyDescent="0.2">
      <c r="A106" t="s">
        <v>55</v>
      </c>
      <c r="B106">
        <v>2025</v>
      </c>
      <c r="C106">
        <f t="shared" si="70"/>
        <v>0</v>
      </c>
      <c r="D106">
        <v>1</v>
      </c>
      <c r="E106">
        <v>2</v>
      </c>
      <c r="F106" t="s">
        <v>40</v>
      </c>
      <c r="G106">
        <v>10</v>
      </c>
      <c r="H106">
        <v>10</v>
      </c>
      <c r="I106">
        <f t="shared" si="71"/>
        <v>1</v>
      </c>
      <c r="J106">
        <v>4</v>
      </c>
      <c r="L106">
        <v>6</v>
      </c>
      <c r="M106">
        <v>1.881</v>
      </c>
      <c r="N106">
        <v>33.601999999999997</v>
      </c>
      <c r="O106">
        <f t="shared" si="41"/>
        <v>31.720999999999997</v>
      </c>
      <c r="P106">
        <v>6.5640000000000001</v>
      </c>
      <c r="Q106">
        <f t="shared" si="42"/>
        <v>4.6829999999999998</v>
      </c>
      <c r="R106">
        <f t="shared" si="72"/>
        <v>27.037999999999997</v>
      </c>
      <c r="S106">
        <f t="shared" si="73"/>
        <v>85.236909302985396</v>
      </c>
      <c r="T106">
        <v>2</v>
      </c>
      <c r="U106">
        <v>26.645499999999998</v>
      </c>
      <c r="V106">
        <v>28.962900000000001</v>
      </c>
      <c r="W106">
        <f t="shared" si="74"/>
        <v>2.3174000000000028</v>
      </c>
      <c r="X106">
        <f t="shared" si="75"/>
        <v>2317.4000000000028</v>
      </c>
      <c r="Y106">
        <v>27.2576</v>
      </c>
      <c r="Z106">
        <f>Y106-U106</f>
        <v>0.61210000000000164</v>
      </c>
      <c r="AA106">
        <f t="shared" si="43"/>
        <v>612.10000000000161</v>
      </c>
      <c r="AB106">
        <f t="shared" si="77"/>
        <v>1705.3000000000011</v>
      </c>
      <c r="AC106">
        <v>0.13778839198180839</v>
      </c>
      <c r="AD106">
        <f t="shared" si="58"/>
        <v>73.586778286010144</v>
      </c>
      <c r="AE106">
        <f t="shared" si="78"/>
        <v>28.891240182963649</v>
      </c>
      <c r="AF106">
        <f t="shared" si="68"/>
        <v>3.9808775271707696E-2</v>
      </c>
      <c r="AG106">
        <f t="shared" si="69"/>
        <v>0.39808775271707697</v>
      </c>
      <c r="AH106">
        <v>10</v>
      </c>
      <c r="AI106">
        <f t="shared" ref="AI106" si="82">AG106</f>
        <v>0.39808775271707697</v>
      </c>
      <c r="AJ106">
        <f t="shared" si="79"/>
        <v>3.9808775271707696E-2</v>
      </c>
      <c r="AK106" t="s">
        <v>57</v>
      </c>
    </row>
    <row r="107" spans="1:37" x14ac:dyDescent="0.2">
      <c r="A107" t="s">
        <v>55</v>
      </c>
      <c r="B107">
        <v>2025</v>
      </c>
      <c r="C107">
        <f t="shared" si="70"/>
        <v>0</v>
      </c>
      <c r="D107">
        <v>1</v>
      </c>
      <c r="E107">
        <v>3</v>
      </c>
      <c r="F107" s="3" t="s">
        <v>41</v>
      </c>
      <c r="G107">
        <v>50</v>
      </c>
      <c r="H107">
        <v>25</v>
      </c>
      <c r="I107">
        <f t="shared" si="71"/>
        <v>0.5</v>
      </c>
      <c r="J107">
        <v>4</v>
      </c>
      <c r="L107">
        <v>7</v>
      </c>
      <c r="M107">
        <v>1.863</v>
      </c>
      <c r="N107">
        <v>29.98</v>
      </c>
      <c r="O107">
        <f t="shared" si="41"/>
        <v>28.117000000000001</v>
      </c>
      <c r="P107">
        <v>8.0239999999999991</v>
      </c>
      <c r="Q107">
        <f t="shared" si="42"/>
        <v>6.1609999999999996</v>
      </c>
      <c r="R107">
        <f t="shared" si="72"/>
        <v>21.956000000000003</v>
      </c>
      <c r="S107">
        <f t="shared" si="73"/>
        <v>78.087989472561091</v>
      </c>
      <c r="T107">
        <v>21</v>
      </c>
      <c r="U107">
        <v>31.079699999999999</v>
      </c>
      <c r="V107">
        <v>33.519500000000001</v>
      </c>
      <c r="W107">
        <f t="shared" si="74"/>
        <v>2.4398000000000017</v>
      </c>
      <c r="X107">
        <f t="shared" si="75"/>
        <v>2439.8000000000015</v>
      </c>
      <c r="Y107">
        <v>31.578199999999999</v>
      </c>
      <c r="Z107">
        <f t="shared" si="76"/>
        <v>0.49849999999999994</v>
      </c>
      <c r="AA107">
        <f t="shared" si="43"/>
        <v>498.49999999999994</v>
      </c>
      <c r="AB107">
        <f t="shared" si="77"/>
        <v>1941.3000000000015</v>
      </c>
      <c r="AC107">
        <v>0.24107995004844848</v>
      </c>
      <c r="AD107">
        <f t="shared" si="58"/>
        <v>79.567997376834171</v>
      </c>
      <c r="AE107">
        <f t="shared" si="78"/>
        <v>31.0444790556603</v>
      </c>
      <c r="AF107">
        <f t="shared" si="68"/>
        <v>7.4842014600186899E-2</v>
      </c>
      <c r="AG107">
        <f t="shared" si="69"/>
        <v>3.7421007300093447</v>
      </c>
      <c r="AH107">
        <v>25</v>
      </c>
      <c r="AI107" s="5">
        <f>AG107-(AI108+AI109)</f>
        <v>2.0666524816871812</v>
      </c>
      <c r="AJ107">
        <f t="shared" si="79"/>
        <v>8.2666099267487247E-2</v>
      </c>
      <c r="AK107" t="s">
        <v>58</v>
      </c>
    </row>
    <row r="108" spans="1:37" x14ac:dyDescent="0.2">
      <c r="A108" t="s">
        <v>55</v>
      </c>
      <c r="B108">
        <v>2025</v>
      </c>
      <c r="C108">
        <f t="shared" si="70"/>
        <v>0</v>
      </c>
      <c r="D108">
        <v>1</v>
      </c>
      <c r="E108">
        <v>3</v>
      </c>
      <c r="F108" t="s">
        <v>39</v>
      </c>
      <c r="G108">
        <v>25</v>
      </c>
      <c r="H108">
        <v>20</v>
      </c>
      <c r="I108">
        <f t="shared" si="71"/>
        <v>0.8</v>
      </c>
      <c r="J108">
        <v>4</v>
      </c>
      <c r="L108">
        <v>8</v>
      </c>
      <c r="M108">
        <v>1.8740000000000001</v>
      </c>
      <c r="N108">
        <v>30.741</v>
      </c>
      <c r="O108">
        <f t="shared" si="41"/>
        <v>28.867000000000001</v>
      </c>
      <c r="P108">
        <v>7.8330000000000002</v>
      </c>
      <c r="Q108">
        <f t="shared" si="42"/>
        <v>5.9589999999999996</v>
      </c>
      <c r="R108">
        <f t="shared" si="72"/>
        <v>22.908000000000001</v>
      </c>
      <c r="S108">
        <f t="shared" si="73"/>
        <v>79.357051304257453</v>
      </c>
      <c r="T108">
        <v>12</v>
      </c>
      <c r="U108">
        <v>29.423300000000001</v>
      </c>
      <c r="V108">
        <v>32.313000000000002</v>
      </c>
      <c r="W108">
        <f t="shared" si="74"/>
        <v>2.8897000000000013</v>
      </c>
      <c r="X108">
        <f t="shared" si="75"/>
        <v>2889.7000000000012</v>
      </c>
      <c r="Y108">
        <v>29.970700000000001</v>
      </c>
      <c r="Z108">
        <f t="shared" si="76"/>
        <v>0.54739999999999966</v>
      </c>
      <c r="AA108">
        <f t="shared" si="43"/>
        <v>547.39999999999964</v>
      </c>
      <c r="AB108">
        <f t="shared" si="77"/>
        <v>2342.3000000000015</v>
      </c>
      <c r="AC108">
        <v>0.21221322224515593</v>
      </c>
      <c r="AD108">
        <f t="shared" si="58"/>
        <v>81.056857113195164</v>
      </c>
      <c r="AE108">
        <f t="shared" si="78"/>
        <v>31.580468560750255</v>
      </c>
      <c r="AF108">
        <f t="shared" si="68"/>
        <v>6.7017929932886536E-2</v>
      </c>
      <c r="AG108">
        <f t="shared" si="69"/>
        <v>1.6754482483221633</v>
      </c>
      <c r="AH108">
        <v>15</v>
      </c>
      <c r="AI108" s="5">
        <f t="shared" ref="AI108" si="83">AG108-AG109</f>
        <v>1.6754482483221633</v>
      </c>
      <c r="AJ108">
        <f t="shared" si="79"/>
        <v>0.11169654988814422</v>
      </c>
    </row>
    <row r="109" spans="1:37" x14ac:dyDescent="0.2">
      <c r="A109" t="s">
        <v>55</v>
      </c>
      <c r="B109">
        <v>2025</v>
      </c>
      <c r="C109">
        <f t="shared" si="70"/>
        <v>0</v>
      </c>
      <c r="D109">
        <v>1</v>
      </c>
      <c r="E109">
        <v>3</v>
      </c>
      <c r="F109" t="s">
        <v>40</v>
      </c>
      <c r="G109">
        <v>10</v>
      </c>
      <c r="H109">
        <v>10</v>
      </c>
      <c r="I109">
        <f t="shared" si="71"/>
        <v>1</v>
      </c>
      <c r="J109">
        <v>4</v>
      </c>
      <c r="L109">
        <v>9</v>
      </c>
      <c r="M109">
        <v>1.8320000000000001</v>
      </c>
      <c r="N109">
        <v>32.436999999999998</v>
      </c>
      <c r="O109">
        <f t="shared" si="41"/>
        <v>30.604999999999997</v>
      </c>
      <c r="P109">
        <v>6.7889999999999997</v>
      </c>
      <c r="Q109">
        <f t="shared" si="42"/>
        <v>4.9569999999999999</v>
      </c>
      <c r="R109">
        <f t="shared" si="72"/>
        <v>25.647999999999996</v>
      </c>
      <c r="S109">
        <f t="shared" si="73"/>
        <v>83.803300114360397</v>
      </c>
      <c r="AK10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FFEB-0747-E340-9763-42E006C91CFC}">
  <dimension ref="A1:AM109"/>
  <sheetViews>
    <sheetView zoomScale="131" workbookViewId="0">
      <pane ySplit="1" topLeftCell="A2" activePane="bottomLeft" state="frozen"/>
      <selection pane="bottomLeft" activeCell="J3" sqref="J3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60</v>
      </c>
      <c r="AF1" t="s">
        <v>29</v>
      </c>
      <c r="AG1" t="s">
        <v>30</v>
      </c>
      <c r="AH1" t="s">
        <v>31</v>
      </c>
      <c r="AI1" s="2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2">
      <c r="A2" t="s">
        <v>37</v>
      </c>
      <c r="B2">
        <v>2018</v>
      </c>
      <c r="C2">
        <f t="shared" ref="C2:C28" si="0">2025-B2</f>
        <v>7</v>
      </c>
      <c r="D2">
        <v>1</v>
      </c>
      <c r="E2">
        <v>1</v>
      </c>
      <c r="F2" t="s">
        <v>38</v>
      </c>
      <c r="M2" s="1"/>
      <c r="AI2" s="6"/>
      <c r="AJ2" s="6"/>
      <c r="AK2" s="6"/>
      <c r="AL2" s="6"/>
    </row>
    <row r="3" spans="1:39" x14ac:dyDescent="0.2">
      <c r="A3" t="s">
        <v>37</v>
      </c>
      <c r="B3">
        <v>2018</v>
      </c>
      <c r="C3">
        <f t="shared" si="0"/>
        <v>7</v>
      </c>
      <c r="D3">
        <v>1</v>
      </c>
      <c r="E3">
        <v>1</v>
      </c>
      <c r="F3" t="s">
        <v>39</v>
      </c>
      <c r="G3">
        <v>100</v>
      </c>
      <c r="H3">
        <v>27</v>
      </c>
      <c r="I3">
        <f>H3/G3</f>
        <v>0.27</v>
      </c>
      <c r="L3">
        <v>30</v>
      </c>
      <c r="M3" s="1">
        <v>10</v>
      </c>
      <c r="N3">
        <v>5.14</v>
      </c>
      <c r="O3">
        <v>48.21</v>
      </c>
      <c r="P3">
        <f>O3-N3</f>
        <v>43.07</v>
      </c>
      <c r="Q3">
        <v>31.73</v>
      </c>
      <c r="R3">
        <f>Q3-N3</f>
        <v>26.59</v>
      </c>
      <c r="S3">
        <f>P3-R3</f>
        <v>16.48</v>
      </c>
      <c r="T3">
        <f>((P3-R3)/P3)*100</f>
        <v>38.263292314836313</v>
      </c>
      <c r="U3">
        <v>10</v>
      </c>
      <c r="V3">
        <v>28.59</v>
      </c>
      <c r="W3">
        <v>31.501000000000001</v>
      </c>
      <c r="X3">
        <f>W3-V3</f>
        <v>2.9110000000000014</v>
      </c>
      <c r="Y3">
        <f>X3*1000</f>
        <v>2911.0000000000014</v>
      </c>
      <c r="Z3">
        <v>31.300999999999998</v>
      </c>
      <c r="AA3">
        <f>Z3-V3</f>
        <v>2.7109999999999985</v>
      </c>
      <c r="AB3">
        <f>AA3*1000</f>
        <v>2710.9999999999986</v>
      </c>
      <c r="AC3">
        <f>Y3-AB3</f>
        <v>200.00000000000273</v>
      </c>
      <c r="AD3">
        <v>0.70440106584149909</v>
      </c>
      <c r="AE3">
        <f>AD3*I3</f>
        <v>0.19018828777720476</v>
      </c>
      <c r="AF3">
        <f>((Y3-AB3)/Y3)*100</f>
        <v>6.8704912401237594</v>
      </c>
      <c r="AG3">
        <f>0.36*AF3+2.4</f>
        <v>4.873376846444553</v>
      </c>
      <c r="AH3">
        <f>AE3*(AG3/100)</f>
        <v>9.2685919811836322E-3</v>
      </c>
      <c r="AI3" s="6">
        <f>AH3*AJ3</f>
        <v>0.30864411297341493</v>
      </c>
      <c r="AJ3" s="6">
        <v>33.299999999999997</v>
      </c>
      <c r="AK3" s="6">
        <f>AI3</f>
        <v>0.30864411297341493</v>
      </c>
      <c r="AL3" s="6">
        <f>AK3/AJ3</f>
        <v>9.2685919811836322E-3</v>
      </c>
    </row>
    <row r="4" spans="1:39" x14ac:dyDescent="0.2">
      <c r="A4" t="s">
        <v>37</v>
      </c>
      <c r="B4">
        <v>2018</v>
      </c>
      <c r="C4">
        <f t="shared" si="0"/>
        <v>7</v>
      </c>
      <c r="D4">
        <v>1</v>
      </c>
      <c r="E4">
        <v>1</v>
      </c>
      <c r="F4" t="s">
        <v>40</v>
      </c>
      <c r="G4">
        <v>100</v>
      </c>
      <c r="H4">
        <v>27</v>
      </c>
      <c r="I4">
        <f>H4/G4</f>
        <v>0.27</v>
      </c>
      <c r="L4">
        <v>30</v>
      </c>
      <c r="M4" s="1">
        <v>15</v>
      </c>
      <c r="N4">
        <v>5.13</v>
      </c>
      <c r="O4">
        <v>41</v>
      </c>
      <c r="P4">
        <f>O4-N4</f>
        <v>35.869999999999997</v>
      </c>
      <c r="Q4">
        <v>23.25</v>
      </c>
      <c r="R4">
        <f>Q4-N4</f>
        <v>18.12</v>
      </c>
      <c r="S4">
        <f>P4-R4</f>
        <v>17.749999999999996</v>
      </c>
      <c r="T4">
        <f>((P4-R4)/P4)*100</f>
        <v>49.484248675773621</v>
      </c>
      <c r="U4">
        <v>15</v>
      </c>
      <c r="V4">
        <v>27.856000000000002</v>
      </c>
      <c r="W4">
        <v>30.731000000000002</v>
      </c>
      <c r="X4">
        <f>W4-V4</f>
        <v>2.875</v>
      </c>
      <c r="Y4">
        <f>X4*1000</f>
        <v>2875</v>
      </c>
      <c r="Z4">
        <v>30.305</v>
      </c>
      <c r="AA4">
        <f>Z4-V4</f>
        <v>2.4489999999999981</v>
      </c>
      <c r="AB4">
        <f>AA4*1000</f>
        <v>2448.9999999999982</v>
      </c>
      <c r="AC4">
        <f>Y4-AB4</f>
        <v>426.00000000000182</v>
      </c>
      <c r="AD4">
        <v>0.78573459370935805</v>
      </c>
      <c r="AE4">
        <f t="shared" ref="AE4:AE67" si="1">AD4*I4</f>
        <v>0.21214834030152668</v>
      </c>
      <c r="AF4">
        <f>((Y4-AB4)/Y4)*100</f>
        <v>14.81739130434789</v>
      </c>
      <c r="AG4">
        <f t="shared" ref="AG4:AG5" si="2">0.36*AF4+2.4</f>
        <v>7.7342608695652402</v>
      </c>
      <c r="AH4">
        <f>AE4*(AG4/100)</f>
        <v>1.6408106069373082E-2</v>
      </c>
      <c r="AI4" s="6">
        <f t="shared" ref="AI4:AI28" si="3">AH4*AJ4</f>
        <v>0.54638993211012354</v>
      </c>
      <c r="AJ4" s="6">
        <v>33.299999999999997</v>
      </c>
      <c r="AK4" s="6">
        <f t="shared" ref="AK4:AK28" si="4">AI4</f>
        <v>0.54638993211012354</v>
      </c>
      <c r="AL4" s="6">
        <f t="shared" ref="AL4:AL18" si="5">AK4/AJ4</f>
        <v>1.6408106069373082E-2</v>
      </c>
    </row>
    <row r="5" spans="1:39" x14ac:dyDescent="0.2">
      <c r="A5" t="s">
        <v>37</v>
      </c>
      <c r="B5">
        <v>2018</v>
      </c>
      <c r="C5">
        <f t="shared" si="0"/>
        <v>7</v>
      </c>
      <c r="D5">
        <v>1</v>
      </c>
      <c r="E5">
        <v>2</v>
      </c>
      <c r="F5" s="3" t="s">
        <v>41</v>
      </c>
      <c r="G5" s="3">
        <v>100</v>
      </c>
      <c r="H5" s="3">
        <v>30</v>
      </c>
      <c r="I5" s="3">
        <f>H5/G5</f>
        <v>0.3</v>
      </c>
      <c r="J5" s="3"/>
      <c r="K5" s="3"/>
      <c r="L5">
        <v>30</v>
      </c>
      <c r="M5" s="1">
        <v>26</v>
      </c>
      <c r="N5">
        <v>4.99</v>
      </c>
      <c r="O5">
        <v>41.91</v>
      </c>
      <c r="P5">
        <f>O5-N5</f>
        <v>36.919999999999995</v>
      </c>
      <c r="Q5">
        <v>22.33</v>
      </c>
      <c r="R5">
        <f>Q5-N5</f>
        <v>17.339999999999996</v>
      </c>
      <c r="S5">
        <f>P5-R5</f>
        <v>19.579999999999998</v>
      </c>
      <c r="T5">
        <f>((P5-R5)/P5)*100</f>
        <v>53.033586132177682</v>
      </c>
      <c r="U5">
        <v>26</v>
      </c>
      <c r="V5">
        <v>29.137</v>
      </c>
      <c r="W5">
        <v>32.795999999999999</v>
      </c>
      <c r="X5">
        <f>W5-V5</f>
        <v>3.6589999999999989</v>
      </c>
      <c r="Y5">
        <f>X5*1000</f>
        <v>3658.9999999999991</v>
      </c>
      <c r="Z5">
        <v>32.319000000000003</v>
      </c>
      <c r="AA5">
        <f>Z5-V5</f>
        <v>3.1820000000000022</v>
      </c>
      <c r="AB5">
        <f>AA5*1000</f>
        <v>3182.0000000000023</v>
      </c>
      <c r="AC5">
        <f>Y5-AB5</f>
        <v>476.99999999999682</v>
      </c>
      <c r="AD5">
        <v>0.9189406814809622</v>
      </c>
      <c r="AE5">
        <f t="shared" si="1"/>
        <v>0.27568220444428865</v>
      </c>
      <c r="AF5">
        <f>((Y5-AB5)/Y5)*100</f>
        <v>13.03634872916089</v>
      </c>
      <c r="AG5">
        <f t="shared" si="2"/>
        <v>7.0930855424979207</v>
      </c>
      <c r="AH5">
        <f>AE5*(AG5/100)</f>
        <v>1.9554374586677397E-2</v>
      </c>
      <c r="AI5" s="6">
        <f t="shared" si="3"/>
        <v>0.65116067373635722</v>
      </c>
      <c r="AJ5" s="6">
        <v>33.299999999999997</v>
      </c>
      <c r="AK5" s="6">
        <f t="shared" si="4"/>
        <v>0.65116067373635722</v>
      </c>
      <c r="AL5" s="6">
        <f t="shared" si="5"/>
        <v>1.9554374586677397E-2</v>
      </c>
    </row>
    <row r="6" spans="1:39" x14ac:dyDescent="0.2">
      <c r="A6" t="s">
        <v>37</v>
      </c>
      <c r="B6">
        <v>2018</v>
      </c>
      <c r="C6">
        <f t="shared" si="0"/>
        <v>7</v>
      </c>
      <c r="D6">
        <v>1</v>
      </c>
      <c r="E6">
        <v>2</v>
      </c>
      <c r="F6" t="s">
        <v>39</v>
      </c>
      <c r="M6" s="1"/>
      <c r="AI6" s="6"/>
      <c r="AJ6" s="6"/>
      <c r="AK6" s="6"/>
      <c r="AL6" s="6"/>
    </row>
    <row r="7" spans="1:39" x14ac:dyDescent="0.2">
      <c r="A7" t="s">
        <v>37</v>
      </c>
      <c r="B7">
        <v>2018</v>
      </c>
      <c r="C7">
        <f t="shared" si="0"/>
        <v>7</v>
      </c>
      <c r="D7">
        <v>1</v>
      </c>
      <c r="E7">
        <v>2</v>
      </c>
      <c r="F7" t="s">
        <v>40</v>
      </c>
      <c r="G7">
        <v>100</v>
      </c>
      <c r="H7">
        <v>27</v>
      </c>
      <c r="I7">
        <v>0.27</v>
      </c>
      <c r="L7">
        <v>55.4</v>
      </c>
      <c r="M7" s="1">
        <v>28</v>
      </c>
      <c r="N7">
        <v>4.96</v>
      </c>
      <c r="O7">
        <v>69.8</v>
      </c>
      <c r="P7">
        <f t="shared" ref="P7:P20" si="6">O7-N7</f>
        <v>64.84</v>
      </c>
      <c r="Q7">
        <v>44.27</v>
      </c>
      <c r="R7">
        <f t="shared" ref="R7:R20" si="7">Q7-N7</f>
        <v>39.31</v>
      </c>
      <c r="S7">
        <f t="shared" ref="S7:S20" si="8">P7-R7</f>
        <v>25.53</v>
      </c>
      <c r="T7">
        <f t="shared" ref="T7:T20" si="9">((P7-R7)/P7)*100</f>
        <v>39.373843306600861</v>
      </c>
      <c r="U7">
        <v>28</v>
      </c>
      <c r="V7">
        <v>28.417999999999999</v>
      </c>
      <c r="W7">
        <v>32.786999999999999</v>
      </c>
      <c r="X7">
        <f t="shared" ref="X7:X20" si="10">W7-V7</f>
        <v>4.3689999999999998</v>
      </c>
      <c r="Y7">
        <f t="shared" ref="Y7:Y20" si="11">X7*1000</f>
        <v>4369</v>
      </c>
      <c r="Z7">
        <v>32.396999999999998</v>
      </c>
      <c r="AA7">
        <f t="shared" ref="AA7:AA20" si="12">Z7-V7</f>
        <v>3.9789999999999992</v>
      </c>
      <c r="AB7">
        <f t="shared" ref="AB7:AB20" si="13">AA7*1000</f>
        <v>3978.9999999999991</v>
      </c>
      <c r="AC7">
        <f t="shared" ref="AC7:AC20" si="14">Y7-AB7</f>
        <v>390.00000000000091</v>
      </c>
      <c r="AD7">
        <v>0.78573459370935805</v>
      </c>
      <c r="AE7">
        <f t="shared" si="1"/>
        <v>0.21214834030152668</v>
      </c>
      <c r="AF7">
        <f>((Y7-AB7)/Y7)*100</f>
        <v>8.9265278095674283</v>
      </c>
      <c r="AG7">
        <f>0.36*AF7+2.4</f>
        <v>5.613550011444274</v>
      </c>
      <c r="AH7">
        <f t="shared" ref="AH7:AH20" si="15">AE7*(AG7/100)</f>
        <v>1.1909053181275189E-2</v>
      </c>
      <c r="AI7" s="6">
        <f t="shared" si="3"/>
        <v>0.39657147093646372</v>
      </c>
      <c r="AJ7" s="6">
        <v>33.299999999999997</v>
      </c>
      <c r="AK7" s="6">
        <f t="shared" si="4"/>
        <v>0.39657147093646372</v>
      </c>
      <c r="AL7" s="6">
        <f t="shared" si="5"/>
        <v>1.1909053181275189E-2</v>
      </c>
      <c r="AM7" t="s">
        <v>42</v>
      </c>
    </row>
    <row r="8" spans="1:39" x14ac:dyDescent="0.2">
      <c r="A8" t="s">
        <v>37</v>
      </c>
      <c r="B8">
        <v>2018</v>
      </c>
      <c r="C8">
        <f t="shared" si="0"/>
        <v>7</v>
      </c>
      <c r="D8">
        <v>1</v>
      </c>
      <c r="E8">
        <v>3</v>
      </c>
      <c r="F8" s="3" t="s">
        <v>41</v>
      </c>
      <c r="G8">
        <v>100</v>
      </c>
      <c r="H8">
        <v>27</v>
      </c>
      <c r="I8">
        <v>0.27</v>
      </c>
      <c r="L8">
        <v>72.099999999999994</v>
      </c>
      <c r="M8" s="1">
        <v>30</v>
      </c>
      <c r="N8">
        <v>5.03</v>
      </c>
      <c r="O8">
        <v>106.82</v>
      </c>
      <c r="P8">
        <f t="shared" si="6"/>
        <v>101.78999999999999</v>
      </c>
      <c r="Q8">
        <v>47.38</v>
      </c>
      <c r="R8">
        <f t="shared" si="7"/>
        <v>42.35</v>
      </c>
      <c r="S8">
        <f t="shared" si="8"/>
        <v>59.439999999999991</v>
      </c>
      <c r="T8">
        <f t="shared" si="9"/>
        <v>58.394734256803218</v>
      </c>
      <c r="U8">
        <v>30</v>
      </c>
      <c r="V8">
        <v>29.242000000000001</v>
      </c>
      <c r="W8">
        <v>32.277000000000001</v>
      </c>
      <c r="X8">
        <f t="shared" si="10"/>
        <v>3.0350000000000001</v>
      </c>
      <c r="Y8">
        <f t="shared" si="11"/>
        <v>3035</v>
      </c>
      <c r="Z8">
        <v>31.776</v>
      </c>
      <c r="AA8">
        <f t="shared" si="12"/>
        <v>2.5339999999999989</v>
      </c>
      <c r="AB8">
        <f t="shared" si="13"/>
        <v>2533.9999999999991</v>
      </c>
      <c r="AC8">
        <f t="shared" si="14"/>
        <v>501.00000000000091</v>
      </c>
      <c r="AD8">
        <v>0.9189406814809622</v>
      </c>
      <c r="AE8">
        <f t="shared" si="1"/>
        <v>0.24811398399985982</v>
      </c>
      <c r="AF8">
        <f>((Y8-AB8)/Y8)*100</f>
        <v>16.507413509060985</v>
      </c>
      <c r="AG8">
        <f t="shared" ref="AG8:AG28" si="16">0.36*AF8+2.4</f>
        <v>8.3426688632619541</v>
      </c>
      <c r="AH8">
        <f t="shared" si="15"/>
        <v>2.0699328088555052E-2</v>
      </c>
      <c r="AI8" s="6">
        <f t="shared" si="3"/>
        <v>0.68928762534888322</v>
      </c>
      <c r="AJ8" s="6">
        <v>33.299999999999997</v>
      </c>
      <c r="AK8" s="6">
        <f t="shared" si="4"/>
        <v>0.68928762534888322</v>
      </c>
      <c r="AL8" s="6">
        <f t="shared" si="5"/>
        <v>2.0699328088555052E-2</v>
      </c>
    </row>
    <row r="9" spans="1:39" x14ac:dyDescent="0.2">
      <c r="A9" t="s">
        <v>37</v>
      </c>
      <c r="B9">
        <v>2018</v>
      </c>
      <c r="C9">
        <f t="shared" si="0"/>
        <v>7</v>
      </c>
      <c r="D9">
        <v>1</v>
      </c>
      <c r="E9">
        <v>3</v>
      </c>
      <c r="F9" t="s">
        <v>39</v>
      </c>
      <c r="G9">
        <v>100</v>
      </c>
      <c r="H9">
        <v>27</v>
      </c>
      <c r="I9">
        <v>0.27</v>
      </c>
      <c r="L9">
        <v>30</v>
      </c>
      <c r="M9" s="1">
        <v>27</v>
      </c>
      <c r="N9">
        <v>5</v>
      </c>
      <c r="O9">
        <v>36.07</v>
      </c>
      <c r="P9">
        <f t="shared" si="6"/>
        <v>31.07</v>
      </c>
      <c r="Q9">
        <v>18.2</v>
      </c>
      <c r="R9">
        <f t="shared" si="7"/>
        <v>13.2</v>
      </c>
      <c r="S9">
        <f t="shared" si="8"/>
        <v>17.87</v>
      </c>
      <c r="T9">
        <f t="shared" si="9"/>
        <v>57.515288059221113</v>
      </c>
      <c r="U9">
        <v>27</v>
      </c>
      <c r="V9">
        <v>29.591000000000001</v>
      </c>
      <c r="W9">
        <v>33.566000000000003</v>
      </c>
      <c r="X9">
        <f t="shared" si="10"/>
        <v>3.9750000000000014</v>
      </c>
      <c r="Y9">
        <f t="shared" si="11"/>
        <v>3975.0000000000014</v>
      </c>
      <c r="Z9">
        <v>32.86</v>
      </c>
      <c r="AA9">
        <f t="shared" si="12"/>
        <v>3.2689999999999984</v>
      </c>
      <c r="AB9">
        <f t="shared" si="13"/>
        <v>3268.9999999999982</v>
      </c>
      <c r="AC9">
        <f t="shared" si="14"/>
        <v>706.00000000000318</v>
      </c>
      <c r="AD9">
        <v>0.70440106584149909</v>
      </c>
      <c r="AE9">
        <f t="shared" si="1"/>
        <v>0.19018828777720476</v>
      </c>
      <c r="AF9">
        <f>((Y9-AB9)/Y9)*100</f>
        <v>17.761006289308252</v>
      </c>
      <c r="AG9">
        <f t="shared" si="16"/>
        <v>8.79396226415097</v>
      </c>
      <c r="AH9">
        <f t="shared" si="15"/>
        <v>1.6725086257962238E-2</v>
      </c>
      <c r="AI9" s="6">
        <f t="shared" si="3"/>
        <v>0.55694537239014252</v>
      </c>
      <c r="AJ9" s="6">
        <v>33.299999999999997</v>
      </c>
      <c r="AK9" s="6">
        <f t="shared" si="4"/>
        <v>0.55694537239014252</v>
      </c>
      <c r="AL9" s="6">
        <f t="shared" si="5"/>
        <v>1.6725086257962238E-2</v>
      </c>
    </row>
    <row r="10" spans="1:39" x14ac:dyDescent="0.2">
      <c r="A10" t="s">
        <v>37</v>
      </c>
      <c r="B10">
        <v>2018</v>
      </c>
      <c r="C10">
        <f t="shared" si="0"/>
        <v>7</v>
      </c>
      <c r="D10">
        <v>1</v>
      </c>
      <c r="E10">
        <v>3</v>
      </c>
      <c r="F10" t="s">
        <v>40</v>
      </c>
      <c r="G10" s="3">
        <v>100</v>
      </c>
      <c r="H10" s="3">
        <v>30</v>
      </c>
      <c r="I10" s="3">
        <f t="shared" ref="I10:I20" si="17">H10/G10</f>
        <v>0.3</v>
      </c>
      <c r="J10" s="3"/>
      <c r="K10" s="3"/>
      <c r="L10">
        <v>72.099999999999994</v>
      </c>
      <c r="M10" s="1">
        <v>24</v>
      </c>
      <c r="N10">
        <v>5.04</v>
      </c>
      <c r="O10">
        <v>109.07</v>
      </c>
      <c r="P10">
        <f t="shared" si="6"/>
        <v>104.02999999999999</v>
      </c>
      <c r="Q10">
        <v>41.13</v>
      </c>
      <c r="R10">
        <f t="shared" si="7"/>
        <v>36.090000000000003</v>
      </c>
      <c r="S10">
        <f t="shared" si="8"/>
        <v>67.939999999999984</v>
      </c>
      <c r="T10">
        <f t="shared" si="9"/>
        <v>65.308084206478895</v>
      </c>
      <c r="U10">
        <v>24</v>
      </c>
      <c r="V10">
        <v>29.565999999999999</v>
      </c>
      <c r="W10">
        <v>32.936999999999998</v>
      </c>
      <c r="X10">
        <f t="shared" si="10"/>
        <v>3.3709999999999987</v>
      </c>
      <c r="Y10">
        <f t="shared" si="11"/>
        <v>3370.9999999999986</v>
      </c>
      <c r="Z10">
        <v>32.131</v>
      </c>
      <c r="AA10">
        <f t="shared" si="12"/>
        <v>2.5650000000000013</v>
      </c>
      <c r="AB10">
        <f t="shared" si="13"/>
        <v>2565.0000000000014</v>
      </c>
      <c r="AC10">
        <f t="shared" si="14"/>
        <v>805.99999999999727</v>
      </c>
      <c r="AD10">
        <v>0.78573459370935805</v>
      </c>
      <c r="AE10">
        <f t="shared" si="1"/>
        <v>0.23572037811280741</v>
      </c>
      <c r="AF10">
        <f>((Y10-AB10)/Y10)*100</f>
        <v>23.90981904479376</v>
      </c>
      <c r="AG10">
        <f t="shared" si="16"/>
        <v>11.007534856125753</v>
      </c>
      <c r="AH10">
        <f t="shared" si="15"/>
        <v>2.5947002783758697E-2</v>
      </c>
      <c r="AI10" s="6">
        <f t="shared" si="3"/>
        <v>0.86403519269916451</v>
      </c>
      <c r="AJ10" s="6">
        <v>33.299999999999997</v>
      </c>
      <c r="AK10" s="6">
        <f t="shared" si="4"/>
        <v>0.86403519269916451</v>
      </c>
      <c r="AL10" s="6">
        <f t="shared" si="5"/>
        <v>2.5947002783758697E-2</v>
      </c>
    </row>
    <row r="11" spans="1:39" x14ac:dyDescent="0.2">
      <c r="A11" t="s">
        <v>37</v>
      </c>
      <c r="B11">
        <v>2016</v>
      </c>
      <c r="C11">
        <f t="shared" si="0"/>
        <v>9</v>
      </c>
      <c r="D11">
        <v>2</v>
      </c>
      <c r="E11">
        <v>1</v>
      </c>
      <c r="F11" s="3" t="s">
        <v>41</v>
      </c>
      <c r="G11" s="3">
        <v>100</v>
      </c>
      <c r="H11" s="3">
        <v>30</v>
      </c>
      <c r="I11" s="3">
        <f t="shared" si="17"/>
        <v>0.3</v>
      </c>
      <c r="J11" s="3"/>
      <c r="K11" s="3"/>
      <c r="L11">
        <v>30</v>
      </c>
      <c r="M11" s="1">
        <v>17</v>
      </c>
      <c r="N11">
        <v>5.1100000000000003</v>
      </c>
      <c r="O11">
        <v>42.72</v>
      </c>
      <c r="P11">
        <f t="shared" si="6"/>
        <v>37.61</v>
      </c>
      <c r="Q11">
        <v>31.37</v>
      </c>
      <c r="R11">
        <f t="shared" si="7"/>
        <v>26.26</v>
      </c>
      <c r="S11">
        <f t="shared" si="8"/>
        <v>11.349999999999998</v>
      </c>
      <c r="T11">
        <f t="shared" si="9"/>
        <v>30.178144110608873</v>
      </c>
      <c r="U11">
        <v>4</v>
      </c>
      <c r="V11">
        <v>27.8</v>
      </c>
      <c r="W11">
        <v>31.904</v>
      </c>
      <c r="X11">
        <f t="shared" si="10"/>
        <v>4.1039999999999992</v>
      </c>
      <c r="Y11">
        <f t="shared" si="11"/>
        <v>4103.9999999999991</v>
      </c>
      <c r="Z11">
        <v>31.706</v>
      </c>
      <c r="AA11">
        <f t="shared" si="12"/>
        <v>3.9059999999999988</v>
      </c>
      <c r="AB11">
        <f t="shared" si="13"/>
        <v>3905.9999999999986</v>
      </c>
      <c r="AC11">
        <f t="shared" si="14"/>
        <v>198.00000000000045</v>
      </c>
      <c r="AD11">
        <v>0.9189406814809622</v>
      </c>
      <c r="AE11">
        <f t="shared" si="1"/>
        <v>0.27568220444428865</v>
      </c>
      <c r="AF11">
        <f>((Y11-AB11)/Y11)*100</f>
        <v>4.8245614035087838</v>
      </c>
      <c r="AG11">
        <f t="shared" si="16"/>
        <v>4.1368421052631623</v>
      </c>
      <c r="AH11">
        <f t="shared" si="15"/>
        <v>1.1404537510169005E-2</v>
      </c>
      <c r="AI11" s="6">
        <f t="shared" si="3"/>
        <v>0.37977109908862783</v>
      </c>
      <c r="AJ11" s="6">
        <v>33.299999999999997</v>
      </c>
      <c r="AK11" s="6">
        <f t="shared" si="4"/>
        <v>0.37977109908862783</v>
      </c>
      <c r="AL11" s="6">
        <f t="shared" si="5"/>
        <v>1.1404537510169005E-2</v>
      </c>
    </row>
    <row r="12" spans="1:39" x14ac:dyDescent="0.2">
      <c r="A12" t="s">
        <v>37</v>
      </c>
      <c r="B12">
        <v>2016</v>
      </c>
      <c r="C12">
        <f t="shared" si="0"/>
        <v>9</v>
      </c>
      <c r="D12">
        <v>2</v>
      </c>
      <c r="E12">
        <v>1</v>
      </c>
      <c r="F12" t="s">
        <v>39</v>
      </c>
      <c r="M12" s="1"/>
      <c r="AI12" s="6"/>
      <c r="AJ12" s="6"/>
      <c r="AK12" s="6"/>
      <c r="AL12" s="6"/>
    </row>
    <row r="13" spans="1:39" x14ac:dyDescent="0.2">
      <c r="A13" t="s">
        <v>37</v>
      </c>
      <c r="B13">
        <v>2016</v>
      </c>
      <c r="C13">
        <f t="shared" si="0"/>
        <v>9</v>
      </c>
      <c r="D13">
        <v>2</v>
      </c>
      <c r="E13">
        <v>1</v>
      </c>
      <c r="F13" t="s">
        <v>40</v>
      </c>
      <c r="G13" s="3">
        <v>100</v>
      </c>
      <c r="H13" s="3">
        <v>30</v>
      </c>
      <c r="I13" s="3">
        <f t="shared" si="17"/>
        <v>0.3</v>
      </c>
      <c r="J13" s="3"/>
      <c r="K13" s="3"/>
      <c r="L13">
        <v>30</v>
      </c>
      <c r="M13" s="1">
        <v>18</v>
      </c>
      <c r="N13">
        <v>5.07</v>
      </c>
      <c r="O13">
        <v>46.72</v>
      </c>
      <c r="P13">
        <f t="shared" si="6"/>
        <v>41.65</v>
      </c>
      <c r="Q13">
        <v>33.200000000000003</v>
      </c>
      <c r="R13">
        <f t="shared" si="7"/>
        <v>28.130000000000003</v>
      </c>
      <c r="S13">
        <f t="shared" si="8"/>
        <v>13.519999999999996</v>
      </c>
      <c r="T13">
        <f t="shared" si="9"/>
        <v>32.460984393757499</v>
      </c>
      <c r="U13">
        <v>6</v>
      </c>
      <c r="V13">
        <v>30.184000000000001</v>
      </c>
      <c r="W13">
        <v>33.36</v>
      </c>
      <c r="X13">
        <f t="shared" si="10"/>
        <v>3.1759999999999984</v>
      </c>
      <c r="Y13">
        <f t="shared" si="11"/>
        <v>3175.9999999999982</v>
      </c>
      <c r="Z13">
        <v>33.176000000000002</v>
      </c>
      <c r="AA13">
        <f t="shared" si="12"/>
        <v>2.9920000000000009</v>
      </c>
      <c r="AB13">
        <f t="shared" si="13"/>
        <v>2992.0000000000009</v>
      </c>
      <c r="AC13">
        <f t="shared" si="14"/>
        <v>183.99999999999727</v>
      </c>
      <c r="AD13">
        <v>0.78573459370935805</v>
      </c>
      <c r="AE13">
        <f t="shared" si="1"/>
        <v>0.23572037811280741</v>
      </c>
      <c r="AF13">
        <f t="shared" ref="AF13:AF20" si="18">((Y13-AB13)/Y13)*100</f>
        <v>5.7934508816120083</v>
      </c>
      <c r="AG13">
        <f t="shared" si="16"/>
        <v>4.4856423173803233</v>
      </c>
      <c r="AH13">
        <f t="shared" si="15"/>
        <v>1.0573573031316995E-2</v>
      </c>
      <c r="AI13" s="6">
        <f t="shared" si="3"/>
        <v>0.35209998194285591</v>
      </c>
      <c r="AJ13" s="6">
        <v>33.299999999999997</v>
      </c>
      <c r="AK13" s="6">
        <f t="shared" si="4"/>
        <v>0.35209998194285591</v>
      </c>
      <c r="AL13" s="6">
        <f t="shared" si="5"/>
        <v>1.0573573031316995E-2</v>
      </c>
    </row>
    <row r="14" spans="1:39" x14ac:dyDescent="0.2">
      <c r="A14" t="s">
        <v>37</v>
      </c>
      <c r="B14">
        <v>2016</v>
      </c>
      <c r="C14">
        <f t="shared" si="0"/>
        <v>9</v>
      </c>
      <c r="D14">
        <v>2</v>
      </c>
      <c r="E14">
        <v>2</v>
      </c>
      <c r="F14" s="3" t="s">
        <v>41</v>
      </c>
      <c r="G14">
        <v>50</v>
      </c>
      <c r="H14">
        <v>28</v>
      </c>
      <c r="I14">
        <f t="shared" si="17"/>
        <v>0.56000000000000005</v>
      </c>
      <c r="L14">
        <v>30</v>
      </c>
      <c r="M14" s="1">
        <v>25</v>
      </c>
      <c r="N14">
        <v>5.0199999999999996</v>
      </c>
      <c r="O14">
        <v>52.46</v>
      </c>
      <c r="P14">
        <f t="shared" si="6"/>
        <v>47.44</v>
      </c>
      <c r="Q14">
        <v>39.409999999999997</v>
      </c>
      <c r="R14">
        <f t="shared" si="7"/>
        <v>34.39</v>
      </c>
      <c r="S14">
        <f t="shared" si="8"/>
        <v>13.049999999999997</v>
      </c>
      <c r="T14">
        <f t="shared" si="9"/>
        <v>27.508431703204046</v>
      </c>
      <c r="U14">
        <v>25</v>
      </c>
      <c r="V14">
        <v>26.797999999999998</v>
      </c>
      <c r="W14">
        <v>30.773</v>
      </c>
      <c r="X14">
        <f t="shared" si="10"/>
        <v>3.9750000000000014</v>
      </c>
      <c r="Y14">
        <f t="shared" si="11"/>
        <v>3975.0000000000014</v>
      </c>
      <c r="Z14">
        <v>30.59</v>
      </c>
      <c r="AA14">
        <f t="shared" si="12"/>
        <v>3.7920000000000016</v>
      </c>
      <c r="AB14">
        <f t="shared" si="13"/>
        <v>3792.0000000000018</v>
      </c>
      <c r="AC14">
        <f t="shared" si="14"/>
        <v>182.99999999999955</v>
      </c>
      <c r="AD14">
        <v>0.9189406814809622</v>
      </c>
      <c r="AE14">
        <f t="shared" si="1"/>
        <v>0.51460678162933893</v>
      </c>
      <c r="AF14">
        <f t="shared" si="18"/>
        <v>4.6037735849056478</v>
      </c>
      <c r="AG14">
        <f t="shared" si="16"/>
        <v>4.0573584905660329</v>
      </c>
      <c r="AH14">
        <f t="shared" si="15"/>
        <v>2.0879441947466586E-2</v>
      </c>
      <c r="AI14" s="6">
        <f t="shared" si="3"/>
        <v>0.69528541685063727</v>
      </c>
      <c r="AJ14" s="6">
        <v>33.299999999999997</v>
      </c>
      <c r="AK14" s="6">
        <f t="shared" si="4"/>
        <v>0.69528541685063727</v>
      </c>
      <c r="AL14" s="6">
        <f t="shared" si="5"/>
        <v>2.0879441947466586E-2</v>
      </c>
    </row>
    <row r="15" spans="1:39" x14ac:dyDescent="0.2">
      <c r="A15" t="s">
        <v>37</v>
      </c>
      <c r="B15">
        <v>2016</v>
      </c>
      <c r="C15">
        <f t="shared" si="0"/>
        <v>9</v>
      </c>
      <c r="D15">
        <v>2</v>
      </c>
      <c r="E15">
        <v>2</v>
      </c>
      <c r="F15" t="s">
        <v>39</v>
      </c>
      <c r="G15">
        <v>50</v>
      </c>
      <c r="H15">
        <v>28</v>
      </c>
      <c r="I15">
        <f t="shared" si="17"/>
        <v>0.56000000000000005</v>
      </c>
      <c r="L15">
        <v>55.4</v>
      </c>
      <c r="M15" s="1">
        <v>33</v>
      </c>
      <c r="N15">
        <v>4.99</v>
      </c>
      <c r="O15">
        <v>84.92</v>
      </c>
      <c r="P15">
        <f t="shared" si="6"/>
        <v>79.930000000000007</v>
      </c>
      <c r="Q15">
        <v>36.33</v>
      </c>
      <c r="R15">
        <f t="shared" si="7"/>
        <v>31.339999999999996</v>
      </c>
      <c r="S15">
        <f t="shared" si="8"/>
        <v>48.590000000000011</v>
      </c>
      <c r="T15">
        <f t="shared" si="9"/>
        <v>60.79069185537346</v>
      </c>
      <c r="U15">
        <v>33</v>
      </c>
      <c r="V15">
        <v>29.571999999999999</v>
      </c>
      <c r="W15">
        <v>32.755000000000003</v>
      </c>
      <c r="X15">
        <f t="shared" si="10"/>
        <v>3.1830000000000034</v>
      </c>
      <c r="Y15">
        <f t="shared" si="11"/>
        <v>3183.0000000000032</v>
      </c>
      <c r="Z15">
        <v>32.076000000000001</v>
      </c>
      <c r="AA15">
        <f t="shared" si="12"/>
        <v>2.5040000000000013</v>
      </c>
      <c r="AB15">
        <f t="shared" si="13"/>
        <v>2504.0000000000014</v>
      </c>
      <c r="AC15">
        <f>Y15-AB15</f>
        <v>679.00000000000182</v>
      </c>
      <c r="AD15">
        <v>0.70440106584149909</v>
      </c>
      <c r="AE15">
        <f t="shared" si="1"/>
        <v>0.39446459687123953</v>
      </c>
      <c r="AF15">
        <f t="shared" si="18"/>
        <v>21.332076657241632</v>
      </c>
      <c r="AG15">
        <f t="shared" si="16"/>
        <v>10.079547596606988</v>
      </c>
      <c r="AH15">
        <f t="shared" si="15"/>
        <v>3.9760246793400462E-2</v>
      </c>
      <c r="AI15" s="6">
        <f t="shared" si="3"/>
        <v>1.3240162182202353</v>
      </c>
      <c r="AJ15" s="6">
        <v>33.299999999999997</v>
      </c>
      <c r="AK15" s="6">
        <f t="shared" si="4"/>
        <v>1.3240162182202353</v>
      </c>
      <c r="AL15" s="6">
        <f t="shared" si="5"/>
        <v>3.9760246793400462E-2</v>
      </c>
    </row>
    <row r="16" spans="1:39" x14ac:dyDescent="0.2">
      <c r="A16" t="s">
        <v>37</v>
      </c>
      <c r="B16">
        <v>2016</v>
      </c>
      <c r="C16">
        <f t="shared" si="0"/>
        <v>9</v>
      </c>
      <c r="D16">
        <v>2</v>
      </c>
      <c r="E16">
        <v>2</v>
      </c>
      <c r="F16" t="s">
        <v>40</v>
      </c>
      <c r="G16">
        <v>50</v>
      </c>
      <c r="H16">
        <v>28</v>
      </c>
      <c r="I16">
        <f t="shared" si="17"/>
        <v>0.56000000000000005</v>
      </c>
      <c r="L16">
        <v>30</v>
      </c>
      <c r="M16" s="1">
        <v>23</v>
      </c>
      <c r="N16">
        <v>5.1100000000000003</v>
      </c>
      <c r="O16">
        <v>52.15</v>
      </c>
      <c r="P16">
        <f t="shared" si="6"/>
        <v>47.04</v>
      </c>
      <c r="Q16">
        <v>35.83</v>
      </c>
      <c r="R16">
        <f t="shared" si="7"/>
        <v>30.72</v>
      </c>
      <c r="S16">
        <f t="shared" si="8"/>
        <v>16.32</v>
      </c>
      <c r="T16">
        <f t="shared" si="9"/>
        <v>34.693877551020407</v>
      </c>
      <c r="U16">
        <v>23</v>
      </c>
      <c r="V16">
        <v>28.367999999999999</v>
      </c>
      <c r="W16">
        <v>32.122999999999998</v>
      </c>
      <c r="X16">
        <f t="shared" si="10"/>
        <v>3.754999999999999</v>
      </c>
      <c r="Y16">
        <f t="shared" si="11"/>
        <v>3754.9999999999991</v>
      </c>
      <c r="Z16">
        <v>31.834</v>
      </c>
      <c r="AA16">
        <f t="shared" si="12"/>
        <v>3.4660000000000011</v>
      </c>
      <c r="AB16">
        <f t="shared" si="13"/>
        <v>3466.0000000000009</v>
      </c>
      <c r="AC16">
        <f t="shared" si="14"/>
        <v>288.99999999999818</v>
      </c>
      <c r="AD16">
        <v>0.78573459370935805</v>
      </c>
      <c r="AE16">
        <f t="shared" si="1"/>
        <v>0.44001137247724054</v>
      </c>
      <c r="AF16">
        <f t="shared" si="18"/>
        <v>7.6964047936084761</v>
      </c>
      <c r="AG16">
        <f t="shared" si="16"/>
        <v>5.170705725699051</v>
      </c>
      <c r="AH16">
        <f t="shared" si="15"/>
        <v>2.2751693230407655E-2</v>
      </c>
      <c r="AI16" s="6">
        <f t="shared" si="3"/>
        <v>0.75763138457257484</v>
      </c>
      <c r="AJ16" s="6">
        <v>33.299999999999997</v>
      </c>
      <c r="AK16" s="6">
        <f t="shared" si="4"/>
        <v>0.75763138457257484</v>
      </c>
      <c r="AL16" s="6">
        <f t="shared" si="5"/>
        <v>2.2751693230407655E-2</v>
      </c>
    </row>
    <row r="17" spans="1:38" x14ac:dyDescent="0.2">
      <c r="A17" t="s">
        <v>37</v>
      </c>
      <c r="B17">
        <v>2016</v>
      </c>
      <c r="C17">
        <f t="shared" si="0"/>
        <v>9</v>
      </c>
      <c r="D17">
        <v>2</v>
      </c>
      <c r="E17">
        <v>3</v>
      </c>
      <c r="F17" t="s">
        <v>41</v>
      </c>
      <c r="G17">
        <v>100</v>
      </c>
      <c r="H17">
        <v>30</v>
      </c>
      <c r="I17">
        <f t="shared" si="17"/>
        <v>0.3</v>
      </c>
      <c r="L17">
        <v>30</v>
      </c>
      <c r="M17" s="1">
        <v>8</v>
      </c>
      <c r="N17">
        <v>5.17</v>
      </c>
      <c r="O17">
        <v>49.43</v>
      </c>
      <c r="P17">
        <f t="shared" si="6"/>
        <v>44.26</v>
      </c>
      <c r="Q17">
        <v>38.299999999999997</v>
      </c>
      <c r="R17">
        <f t="shared" si="7"/>
        <v>33.129999999999995</v>
      </c>
      <c r="S17">
        <f t="shared" si="8"/>
        <v>11.130000000000003</v>
      </c>
      <c r="T17">
        <f t="shared" si="9"/>
        <v>25.146859466787173</v>
      </c>
      <c r="U17">
        <v>8</v>
      </c>
      <c r="V17">
        <v>27.364000000000001</v>
      </c>
      <c r="W17">
        <v>30.826000000000001</v>
      </c>
      <c r="X17">
        <f t="shared" si="10"/>
        <v>3.4619999999999997</v>
      </c>
      <c r="Y17">
        <f t="shared" si="11"/>
        <v>3461.9999999999995</v>
      </c>
      <c r="Z17">
        <v>30.695</v>
      </c>
      <c r="AA17">
        <f t="shared" si="12"/>
        <v>3.3309999999999995</v>
      </c>
      <c r="AB17">
        <f t="shared" si="13"/>
        <v>3330.9999999999995</v>
      </c>
      <c r="AC17">
        <f t="shared" si="14"/>
        <v>131</v>
      </c>
      <c r="AD17">
        <v>0.9189406814809622</v>
      </c>
      <c r="AE17">
        <f t="shared" si="1"/>
        <v>0.27568220444428865</v>
      </c>
      <c r="AF17">
        <f t="shared" si="18"/>
        <v>3.7839399191218952</v>
      </c>
      <c r="AG17">
        <f t="shared" si="16"/>
        <v>3.7622183708838821</v>
      </c>
      <c r="AH17">
        <f t="shared" si="15"/>
        <v>1.0371766540860691E-2</v>
      </c>
      <c r="AI17" s="6">
        <f t="shared" si="3"/>
        <v>0.34537982581066096</v>
      </c>
      <c r="AJ17" s="6">
        <v>33.299999999999997</v>
      </c>
      <c r="AK17" s="6">
        <f t="shared" si="4"/>
        <v>0.34537982581066096</v>
      </c>
      <c r="AL17" s="6">
        <f t="shared" si="5"/>
        <v>1.0371766540860691E-2</v>
      </c>
    </row>
    <row r="18" spans="1:38" x14ac:dyDescent="0.2">
      <c r="A18" t="s">
        <v>37</v>
      </c>
      <c r="B18">
        <v>2016</v>
      </c>
      <c r="C18">
        <f t="shared" si="0"/>
        <v>9</v>
      </c>
      <c r="D18">
        <v>2</v>
      </c>
      <c r="E18">
        <v>3</v>
      </c>
      <c r="F18" t="s">
        <v>39</v>
      </c>
      <c r="G18">
        <v>100</v>
      </c>
      <c r="H18">
        <v>30</v>
      </c>
      <c r="I18">
        <f t="shared" si="17"/>
        <v>0.3</v>
      </c>
      <c r="L18">
        <v>30</v>
      </c>
      <c r="M18" s="1">
        <v>12</v>
      </c>
      <c r="N18">
        <v>5.13</v>
      </c>
      <c r="O18">
        <v>49.95</v>
      </c>
      <c r="P18">
        <f t="shared" si="6"/>
        <v>44.82</v>
      </c>
      <c r="Q18">
        <v>37.15</v>
      </c>
      <c r="R18">
        <f t="shared" si="7"/>
        <v>32.019999999999996</v>
      </c>
      <c r="S18">
        <f t="shared" si="8"/>
        <v>12.800000000000004</v>
      </c>
      <c r="T18">
        <f t="shared" si="9"/>
        <v>28.558679161088808</v>
      </c>
      <c r="U18">
        <v>12</v>
      </c>
      <c r="V18">
        <v>29.442</v>
      </c>
      <c r="W18">
        <v>33.572000000000003</v>
      </c>
      <c r="X18">
        <f t="shared" si="10"/>
        <v>4.1300000000000026</v>
      </c>
      <c r="Y18">
        <f t="shared" si="11"/>
        <v>4130.0000000000027</v>
      </c>
      <c r="Z18">
        <v>33.392000000000003</v>
      </c>
      <c r="AA18">
        <f t="shared" si="12"/>
        <v>3.9500000000000028</v>
      </c>
      <c r="AB18">
        <f t="shared" si="13"/>
        <v>3950.0000000000027</v>
      </c>
      <c r="AC18">
        <f t="shared" si="14"/>
        <v>180</v>
      </c>
      <c r="AD18">
        <v>0.70440106584149909</v>
      </c>
      <c r="AE18">
        <f t="shared" si="1"/>
        <v>0.21132031975244972</v>
      </c>
      <c r="AF18">
        <f t="shared" si="18"/>
        <v>4.3583535108958804</v>
      </c>
      <c r="AG18">
        <f t="shared" si="16"/>
        <v>3.9690072639225171</v>
      </c>
      <c r="AH18">
        <f t="shared" si="15"/>
        <v>8.3873188411190194E-3</v>
      </c>
      <c r="AI18" s="6">
        <f t="shared" si="3"/>
        <v>0.27929771740926335</v>
      </c>
      <c r="AJ18" s="6">
        <v>33.299999999999997</v>
      </c>
      <c r="AK18" s="6">
        <f t="shared" si="4"/>
        <v>0.27929771740926335</v>
      </c>
      <c r="AL18" s="6">
        <f t="shared" si="5"/>
        <v>8.3873188411190194E-3</v>
      </c>
    </row>
    <row r="19" spans="1:38" x14ac:dyDescent="0.2">
      <c r="A19" t="s">
        <v>37</v>
      </c>
      <c r="B19">
        <v>2016</v>
      </c>
      <c r="C19">
        <f t="shared" si="0"/>
        <v>9</v>
      </c>
      <c r="D19">
        <v>2</v>
      </c>
      <c r="E19">
        <v>3</v>
      </c>
      <c r="F19" t="s">
        <v>40</v>
      </c>
      <c r="G19">
        <v>100</v>
      </c>
      <c r="H19">
        <v>30</v>
      </c>
      <c r="I19">
        <f t="shared" si="17"/>
        <v>0.3</v>
      </c>
      <c r="L19">
        <v>30</v>
      </c>
      <c r="M19" s="1">
        <v>11</v>
      </c>
      <c r="N19">
        <v>5.14</v>
      </c>
      <c r="O19">
        <v>41.1</v>
      </c>
      <c r="P19">
        <f t="shared" si="6"/>
        <v>35.96</v>
      </c>
      <c r="Q19">
        <v>23.24</v>
      </c>
      <c r="R19">
        <f t="shared" si="7"/>
        <v>18.099999999999998</v>
      </c>
      <c r="S19">
        <f t="shared" si="8"/>
        <v>17.860000000000003</v>
      </c>
      <c r="T19">
        <f t="shared" si="9"/>
        <v>49.666295884315915</v>
      </c>
      <c r="U19">
        <v>11</v>
      </c>
      <c r="V19">
        <v>27.460999999999999</v>
      </c>
      <c r="W19">
        <v>31.6</v>
      </c>
      <c r="X19">
        <f t="shared" si="10"/>
        <v>4.1390000000000029</v>
      </c>
      <c r="Y19">
        <f t="shared" si="11"/>
        <v>4139.0000000000027</v>
      </c>
      <c r="Z19">
        <v>31.085999999999999</v>
      </c>
      <c r="AA19">
        <f t="shared" si="12"/>
        <v>3.625</v>
      </c>
      <c r="AB19">
        <f t="shared" si="13"/>
        <v>3625</v>
      </c>
      <c r="AC19">
        <f t="shared" si="14"/>
        <v>514.00000000000273</v>
      </c>
      <c r="AD19">
        <v>0.78573459370935805</v>
      </c>
      <c r="AE19">
        <f t="shared" si="1"/>
        <v>0.23572037811280741</v>
      </c>
      <c r="AF19">
        <f t="shared" si="18"/>
        <v>12.418458564870798</v>
      </c>
      <c r="AG19">
        <f t="shared" si="16"/>
        <v>6.8706450833534873</v>
      </c>
      <c r="AH19">
        <f t="shared" si="15"/>
        <v>1.619551056926985E-2</v>
      </c>
      <c r="AI19" s="6">
        <f t="shared" si="3"/>
        <v>0.53931050195668595</v>
      </c>
      <c r="AJ19" s="6">
        <v>33.299999999999997</v>
      </c>
      <c r="AK19" s="6">
        <f t="shared" si="4"/>
        <v>0.53931050195668595</v>
      </c>
      <c r="AL19" s="6">
        <f>AK19/AJ19</f>
        <v>1.619551056926985E-2</v>
      </c>
    </row>
    <row r="20" spans="1:38" x14ac:dyDescent="0.2">
      <c r="A20" t="s">
        <v>37</v>
      </c>
      <c r="B20">
        <v>2022</v>
      </c>
      <c r="C20">
        <f t="shared" si="0"/>
        <v>3</v>
      </c>
      <c r="D20">
        <v>3</v>
      </c>
      <c r="E20">
        <v>1</v>
      </c>
      <c r="F20" s="3" t="s">
        <v>41</v>
      </c>
      <c r="G20">
        <v>100</v>
      </c>
      <c r="H20">
        <v>40</v>
      </c>
      <c r="I20">
        <f t="shared" si="17"/>
        <v>0.4</v>
      </c>
      <c r="L20">
        <v>30</v>
      </c>
      <c r="M20" s="1">
        <v>16</v>
      </c>
      <c r="N20">
        <v>5.09</v>
      </c>
      <c r="O20">
        <v>50.03</v>
      </c>
      <c r="P20">
        <f t="shared" si="6"/>
        <v>44.94</v>
      </c>
      <c r="Q20">
        <v>36.53</v>
      </c>
      <c r="R20">
        <f t="shared" si="7"/>
        <v>31.44</v>
      </c>
      <c r="S20">
        <f t="shared" si="8"/>
        <v>13.499999999999996</v>
      </c>
      <c r="T20">
        <f t="shared" si="9"/>
        <v>30.040053404539378</v>
      </c>
      <c r="U20">
        <v>16</v>
      </c>
      <c r="V20">
        <v>28.471</v>
      </c>
      <c r="W20">
        <v>31.635000000000002</v>
      </c>
      <c r="X20">
        <f t="shared" si="10"/>
        <v>3.1640000000000015</v>
      </c>
      <c r="Y20">
        <f t="shared" si="11"/>
        <v>3164.0000000000014</v>
      </c>
      <c r="Z20">
        <v>31.495000000000001</v>
      </c>
      <c r="AA20">
        <f t="shared" si="12"/>
        <v>3.0240000000000009</v>
      </c>
      <c r="AB20">
        <f t="shared" si="13"/>
        <v>3024.0000000000009</v>
      </c>
      <c r="AC20">
        <f t="shared" si="14"/>
        <v>140.00000000000045</v>
      </c>
      <c r="AD20">
        <v>0.9189406814809622</v>
      </c>
      <c r="AE20">
        <f t="shared" si="1"/>
        <v>0.3675762725923849</v>
      </c>
      <c r="AF20">
        <f t="shared" si="18"/>
        <v>4.4247787610619591</v>
      </c>
      <c r="AG20">
        <f t="shared" si="16"/>
        <v>3.992920353982305</v>
      </c>
      <c r="AH20">
        <f t="shared" si="15"/>
        <v>1.4677027804750819E-2</v>
      </c>
      <c r="AI20" s="6">
        <f t="shared" si="3"/>
        <v>0.48874502589820223</v>
      </c>
      <c r="AJ20" s="6">
        <v>33.299999999999997</v>
      </c>
      <c r="AK20" s="6">
        <f t="shared" si="4"/>
        <v>0.48874502589820223</v>
      </c>
      <c r="AL20" s="6">
        <f t="shared" ref="AL20:AL28" si="19">AK20/AJ20</f>
        <v>1.4677027804750819E-2</v>
      </c>
    </row>
    <row r="21" spans="1:38" x14ac:dyDescent="0.2">
      <c r="A21" t="s">
        <v>37</v>
      </c>
      <c r="B21">
        <v>2022</v>
      </c>
      <c r="C21">
        <f t="shared" si="0"/>
        <v>3</v>
      </c>
      <c r="D21">
        <v>3</v>
      </c>
      <c r="E21">
        <v>1</v>
      </c>
      <c r="F21" t="s">
        <v>39</v>
      </c>
      <c r="M21" s="1"/>
      <c r="AI21" s="6"/>
      <c r="AJ21" s="6"/>
      <c r="AK21" s="6"/>
      <c r="AL21" s="6"/>
    </row>
    <row r="22" spans="1:38" x14ac:dyDescent="0.2">
      <c r="A22" t="s">
        <v>37</v>
      </c>
      <c r="B22">
        <v>2022</v>
      </c>
      <c r="C22">
        <f t="shared" si="0"/>
        <v>3</v>
      </c>
      <c r="D22">
        <v>3</v>
      </c>
      <c r="E22">
        <v>1</v>
      </c>
      <c r="F22" t="s">
        <v>40</v>
      </c>
      <c r="G22">
        <v>100</v>
      </c>
      <c r="H22">
        <v>40</v>
      </c>
      <c r="I22">
        <f t="shared" ref="I22:I28" si="20">H22/G22</f>
        <v>0.4</v>
      </c>
      <c r="L22">
        <v>30</v>
      </c>
      <c r="M22" s="1">
        <v>20</v>
      </c>
      <c r="N22">
        <v>5.0999999999999996</v>
      </c>
      <c r="O22">
        <v>50.57</v>
      </c>
      <c r="P22">
        <f t="shared" ref="P22:P28" si="21">O22-N22</f>
        <v>45.47</v>
      </c>
      <c r="Q22">
        <v>33.85</v>
      </c>
      <c r="R22">
        <f t="shared" ref="R22:R28" si="22">Q22-N22</f>
        <v>28.75</v>
      </c>
      <c r="S22">
        <f t="shared" ref="S22:S28" si="23">P22-R22</f>
        <v>16.72</v>
      </c>
      <c r="T22">
        <f t="shared" ref="T22:T28" si="24">((P22-R22)/P22)*100</f>
        <v>36.771497690785132</v>
      </c>
      <c r="U22">
        <v>20</v>
      </c>
      <c r="V22">
        <v>28.547000000000001</v>
      </c>
      <c r="W22">
        <v>32.195</v>
      </c>
      <c r="X22">
        <f t="shared" ref="X22:X28" si="25">W22-V22</f>
        <v>3.6479999999999997</v>
      </c>
      <c r="Y22">
        <f t="shared" ref="Y22:Y28" si="26">X22*1000</f>
        <v>3647.9999999999995</v>
      </c>
      <c r="Z22">
        <v>31.957000000000001</v>
      </c>
      <c r="AA22">
        <f t="shared" ref="AA22:AA28" si="27">Z22-V22</f>
        <v>3.41</v>
      </c>
      <c r="AB22">
        <f t="shared" ref="AB22:AB28" si="28">AA22*1000</f>
        <v>3410</v>
      </c>
      <c r="AC22">
        <f t="shared" ref="AC22:AC28" si="29">Y22-AB22</f>
        <v>237.99999999999955</v>
      </c>
      <c r="AD22">
        <v>0.78573459370935805</v>
      </c>
      <c r="AE22">
        <f t="shared" si="1"/>
        <v>0.31429383748374323</v>
      </c>
      <c r="AF22">
        <f t="shared" ref="AF22:AF28" si="30">((Y22-AB22)/Y22)*100</f>
        <v>6.5241228070175321</v>
      </c>
      <c r="AG22">
        <f t="shared" si="16"/>
        <v>4.7486842105263118</v>
      </c>
      <c r="AH22">
        <f t="shared" ref="AH22:AH28" si="31">AE22*(AG22/100)</f>
        <v>1.4924821835247742E-2</v>
      </c>
      <c r="AI22" s="6">
        <f t="shared" si="3"/>
        <v>0.49699656711374979</v>
      </c>
      <c r="AJ22" s="6">
        <v>33.299999999999997</v>
      </c>
      <c r="AK22" s="6">
        <f t="shared" si="4"/>
        <v>0.49699656711374979</v>
      </c>
      <c r="AL22" s="6">
        <f t="shared" si="19"/>
        <v>1.4924821835247742E-2</v>
      </c>
    </row>
    <row r="23" spans="1:38" x14ac:dyDescent="0.2">
      <c r="A23" t="s">
        <v>37</v>
      </c>
      <c r="B23">
        <v>2022</v>
      </c>
      <c r="C23">
        <f t="shared" si="0"/>
        <v>3</v>
      </c>
      <c r="D23">
        <v>3</v>
      </c>
      <c r="E23">
        <v>2</v>
      </c>
      <c r="F23" s="3" t="s">
        <v>41</v>
      </c>
      <c r="G23">
        <v>100</v>
      </c>
      <c r="H23">
        <v>40</v>
      </c>
      <c r="I23">
        <f t="shared" si="20"/>
        <v>0.4</v>
      </c>
      <c r="L23">
        <v>55.4</v>
      </c>
      <c r="M23" s="1">
        <v>32</v>
      </c>
      <c r="N23">
        <v>5</v>
      </c>
      <c r="O23">
        <v>93.98</v>
      </c>
      <c r="P23">
        <f t="shared" si="21"/>
        <v>88.98</v>
      </c>
      <c r="Q23">
        <v>67.13</v>
      </c>
      <c r="R23">
        <f t="shared" si="22"/>
        <v>62.129999999999995</v>
      </c>
      <c r="S23">
        <f t="shared" si="23"/>
        <v>26.850000000000009</v>
      </c>
      <c r="T23">
        <f t="shared" si="24"/>
        <v>30.175320296695894</v>
      </c>
      <c r="U23">
        <v>32</v>
      </c>
      <c r="V23">
        <v>27.739000000000001</v>
      </c>
      <c r="W23">
        <v>31.704000000000001</v>
      </c>
      <c r="X23">
        <f t="shared" si="25"/>
        <v>3.9649999999999999</v>
      </c>
      <c r="Y23">
        <f t="shared" si="26"/>
        <v>3965</v>
      </c>
      <c r="Z23">
        <v>31.52</v>
      </c>
      <c r="AA23">
        <f t="shared" si="27"/>
        <v>3.7809999999999988</v>
      </c>
      <c r="AB23">
        <f t="shared" si="28"/>
        <v>3780.9999999999986</v>
      </c>
      <c r="AC23">
        <f t="shared" si="29"/>
        <v>184.00000000000136</v>
      </c>
      <c r="AD23">
        <v>0.9189406814809622</v>
      </c>
      <c r="AE23">
        <f t="shared" si="1"/>
        <v>0.3675762725923849</v>
      </c>
      <c r="AF23">
        <f t="shared" si="30"/>
        <v>4.6406052963430362</v>
      </c>
      <c r="AG23">
        <f t="shared" si="16"/>
        <v>4.0706179066834931</v>
      </c>
      <c r="AH23">
        <f t="shared" si="31"/>
        <v>1.4962625572865347E-2</v>
      </c>
      <c r="AI23" s="6">
        <f t="shared" si="3"/>
        <v>0.49825543157641605</v>
      </c>
      <c r="AJ23" s="6">
        <v>33.299999999999997</v>
      </c>
      <c r="AK23" s="6">
        <f t="shared" si="4"/>
        <v>0.49825543157641605</v>
      </c>
      <c r="AL23" s="6">
        <f t="shared" si="19"/>
        <v>1.4962625572865347E-2</v>
      </c>
    </row>
    <row r="24" spans="1:38" x14ac:dyDescent="0.2">
      <c r="A24" t="s">
        <v>37</v>
      </c>
      <c r="B24">
        <v>2022</v>
      </c>
      <c r="C24">
        <f t="shared" si="0"/>
        <v>3</v>
      </c>
      <c r="D24">
        <v>3</v>
      </c>
      <c r="E24">
        <v>2</v>
      </c>
      <c r="F24" t="s">
        <v>39</v>
      </c>
      <c r="G24">
        <v>100</v>
      </c>
      <c r="H24">
        <v>40</v>
      </c>
      <c r="I24">
        <f t="shared" si="20"/>
        <v>0.4</v>
      </c>
      <c r="L24">
        <v>30</v>
      </c>
      <c r="M24" s="1">
        <v>13</v>
      </c>
      <c r="N24">
        <v>5.14</v>
      </c>
      <c r="O24">
        <v>43.77</v>
      </c>
      <c r="P24">
        <f t="shared" si="21"/>
        <v>38.630000000000003</v>
      </c>
      <c r="Q24">
        <v>26.79</v>
      </c>
      <c r="R24">
        <f t="shared" si="22"/>
        <v>21.65</v>
      </c>
      <c r="S24">
        <f t="shared" si="23"/>
        <v>16.980000000000004</v>
      </c>
      <c r="T24">
        <f t="shared" si="24"/>
        <v>43.955475019414969</v>
      </c>
      <c r="U24">
        <v>13</v>
      </c>
      <c r="V24">
        <v>22.212</v>
      </c>
      <c r="W24">
        <v>25.902999999999999</v>
      </c>
      <c r="X24">
        <f t="shared" si="25"/>
        <v>3.6909999999999989</v>
      </c>
      <c r="Y24">
        <f t="shared" si="26"/>
        <v>3690.9999999999991</v>
      </c>
      <c r="Z24">
        <v>25.577999999999999</v>
      </c>
      <c r="AA24">
        <f t="shared" si="27"/>
        <v>3.3659999999999997</v>
      </c>
      <c r="AB24">
        <f t="shared" si="28"/>
        <v>3365.9999999999995</v>
      </c>
      <c r="AC24">
        <f t="shared" si="29"/>
        <v>324.99999999999955</v>
      </c>
      <c r="AD24">
        <v>0.70440106584149909</v>
      </c>
      <c r="AE24">
        <f t="shared" si="1"/>
        <v>0.28176042633659965</v>
      </c>
      <c r="AF24">
        <f t="shared" si="30"/>
        <v>8.8052018423191445</v>
      </c>
      <c r="AG24">
        <f t="shared" si="16"/>
        <v>5.5698726632348912</v>
      </c>
      <c r="AH24">
        <f t="shared" si="31"/>
        <v>1.5693696962336346E-2</v>
      </c>
      <c r="AI24" s="6">
        <f t="shared" si="3"/>
        <v>0.52260010884580033</v>
      </c>
      <c r="AJ24" s="6">
        <v>33.299999999999997</v>
      </c>
      <c r="AK24" s="6">
        <f t="shared" si="4"/>
        <v>0.52260010884580033</v>
      </c>
      <c r="AL24" s="6">
        <f t="shared" si="19"/>
        <v>1.5693696962336346E-2</v>
      </c>
    </row>
    <row r="25" spans="1:38" x14ac:dyDescent="0.2">
      <c r="A25" t="s">
        <v>37</v>
      </c>
      <c r="B25">
        <v>2022</v>
      </c>
      <c r="C25">
        <f t="shared" si="0"/>
        <v>3</v>
      </c>
      <c r="D25">
        <v>3</v>
      </c>
      <c r="E25">
        <v>2</v>
      </c>
      <c r="F25" t="s">
        <v>40</v>
      </c>
      <c r="G25">
        <v>100</v>
      </c>
      <c r="H25">
        <v>40</v>
      </c>
      <c r="I25">
        <f t="shared" si="20"/>
        <v>0.4</v>
      </c>
      <c r="L25">
        <v>55.4</v>
      </c>
      <c r="M25" s="1">
        <v>29</v>
      </c>
      <c r="N25">
        <v>5.03</v>
      </c>
      <c r="O25">
        <v>96.59</v>
      </c>
      <c r="P25">
        <f t="shared" si="21"/>
        <v>91.56</v>
      </c>
      <c r="Q25">
        <v>59.7</v>
      </c>
      <c r="R25">
        <f t="shared" si="22"/>
        <v>54.67</v>
      </c>
      <c r="S25">
        <f t="shared" si="23"/>
        <v>36.89</v>
      </c>
      <c r="T25">
        <f t="shared" si="24"/>
        <v>40.290519877675841</v>
      </c>
      <c r="U25">
        <v>29</v>
      </c>
      <c r="V25">
        <v>28.353000000000002</v>
      </c>
      <c r="W25">
        <v>32.344000000000001</v>
      </c>
      <c r="X25">
        <f t="shared" si="25"/>
        <v>3.9909999999999997</v>
      </c>
      <c r="Y25">
        <f t="shared" si="26"/>
        <v>3990.9999999999995</v>
      </c>
      <c r="Z25">
        <v>31.986000000000001</v>
      </c>
      <c r="AA25">
        <f t="shared" si="27"/>
        <v>3.6329999999999991</v>
      </c>
      <c r="AB25">
        <f t="shared" si="28"/>
        <v>3632.9999999999991</v>
      </c>
      <c r="AC25">
        <f t="shared" si="29"/>
        <v>358.00000000000045</v>
      </c>
      <c r="AD25">
        <v>0.78573459370935805</v>
      </c>
      <c r="AE25">
        <f t="shared" si="1"/>
        <v>0.31429383748374323</v>
      </c>
      <c r="AF25">
        <f t="shared" si="30"/>
        <v>8.9701829115510012</v>
      </c>
      <c r="AG25">
        <f t="shared" si="16"/>
        <v>5.6292658481583597</v>
      </c>
      <c r="AH25">
        <f t="shared" si="31"/>
        <v>1.7692435656338695E-2</v>
      </c>
      <c r="AI25" s="6">
        <f t="shared" si="3"/>
        <v>0.58915810735607843</v>
      </c>
      <c r="AJ25" s="6">
        <v>33.299999999999997</v>
      </c>
      <c r="AK25" s="6">
        <f t="shared" si="4"/>
        <v>0.58915810735607843</v>
      </c>
      <c r="AL25" s="6">
        <f t="shared" si="19"/>
        <v>1.7692435656338695E-2</v>
      </c>
    </row>
    <row r="26" spans="1:38" x14ac:dyDescent="0.2">
      <c r="A26" t="s">
        <v>37</v>
      </c>
      <c r="B26">
        <v>2022</v>
      </c>
      <c r="C26">
        <f t="shared" si="0"/>
        <v>3</v>
      </c>
      <c r="D26">
        <v>3</v>
      </c>
      <c r="E26">
        <v>3</v>
      </c>
      <c r="F26" s="3" t="s">
        <v>41</v>
      </c>
      <c r="G26">
        <v>100</v>
      </c>
      <c r="H26">
        <v>40</v>
      </c>
      <c r="I26">
        <f t="shared" si="20"/>
        <v>0.4</v>
      </c>
      <c r="L26">
        <v>30</v>
      </c>
      <c r="M26" s="1">
        <v>22</v>
      </c>
      <c r="N26">
        <v>5.04</v>
      </c>
      <c r="O26">
        <v>46.38</v>
      </c>
      <c r="P26">
        <f t="shared" si="21"/>
        <v>41.34</v>
      </c>
      <c r="Q26">
        <v>31.76</v>
      </c>
      <c r="R26">
        <f t="shared" si="22"/>
        <v>26.720000000000002</v>
      </c>
      <c r="S26">
        <f t="shared" si="23"/>
        <v>14.620000000000001</v>
      </c>
      <c r="T26">
        <f t="shared" si="24"/>
        <v>35.365263667150458</v>
      </c>
      <c r="U26">
        <v>22</v>
      </c>
      <c r="V26">
        <v>28.484999999999999</v>
      </c>
      <c r="W26">
        <v>31.972999999999999</v>
      </c>
      <c r="X26">
        <f t="shared" si="25"/>
        <v>3.4879999999999995</v>
      </c>
      <c r="Y26">
        <f t="shared" si="26"/>
        <v>3487.9999999999995</v>
      </c>
      <c r="Z26">
        <v>31.742000000000001</v>
      </c>
      <c r="AA26">
        <f t="shared" si="27"/>
        <v>3.2570000000000014</v>
      </c>
      <c r="AB26">
        <f t="shared" si="28"/>
        <v>3257.0000000000014</v>
      </c>
      <c r="AC26">
        <f t="shared" si="29"/>
        <v>230.99999999999818</v>
      </c>
      <c r="AD26">
        <v>0.9189406814809622</v>
      </c>
      <c r="AE26">
        <f t="shared" si="1"/>
        <v>0.3675762725923849</v>
      </c>
      <c r="AF26">
        <f t="shared" si="30"/>
        <v>6.6227064220182967</v>
      </c>
      <c r="AG26">
        <f t="shared" si="16"/>
        <v>4.784174311926586</v>
      </c>
      <c r="AH26">
        <f t="shared" si="31"/>
        <v>1.7585489610102121E-2</v>
      </c>
      <c r="AI26" s="6">
        <f t="shared" si="3"/>
        <v>0.58559680401640057</v>
      </c>
      <c r="AJ26" s="6">
        <v>33.299999999999997</v>
      </c>
      <c r="AK26" s="6">
        <f t="shared" si="4"/>
        <v>0.58559680401640057</v>
      </c>
      <c r="AL26" s="6">
        <f t="shared" si="19"/>
        <v>1.7585489610102121E-2</v>
      </c>
    </row>
    <row r="27" spans="1:38" x14ac:dyDescent="0.2">
      <c r="A27" t="s">
        <v>37</v>
      </c>
      <c r="B27">
        <v>2022</v>
      </c>
      <c r="C27">
        <f t="shared" si="0"/>
        <v>3</v>
      </c>
      <c r="D27">
        <v>3</v>
      </c>
      <c r="E27">
        <v>3</v>
      </c>
      <c r="F27" t="s">
        <v>39</v>
      </c>
      <c r="G27">
        <v>100</v>
      </c>
      <c r="H27">
        <v>40</v>
      </c>
      <c r="I27">
        <f t="shared" si="20"/>
        <v>0.4</v>
      </c>
      <c r="L27">
        <v>30</v>
      </c>
      <c r="M27" s="1">
        <v>19</v>
      </c>
      <c r="N27">
        <v>5.08</v>
      </c>
      <c r="O27">
        <v>43.68</v>
      </c>
      <c r="P27">
        <f t="shared" si="21"/>
        <v>38.6</v>
      </c>
      <c r="Q27">
        <v>29.75</v>
      </c>
      <c r="R27">
        <f t="shared" si="22"/>
        <v>24.67</v>
      </c>
      <c r="S27">
        <f t="shared" si="23"/>
        <v>13.93</v>
      </c>
      <c r="T27">
        <f t="shared" si="24"/>
        <v>36.088082901554401</v>
      </c>
      <c r="U27">
        <v>19</v>
      </c>
      <c r="V27">
        <v>28.951000000000001</v>
      </c>
      <c r="W27">
        <v>32.335999999999999</v>
      </c>
      <c r="X27">
        <f t="shared" si="25"/>
        <v>3.384999999999998</v>
      </c>
      <c r="Y27">
        <f t="shared" si="26"/>
        <v>3384.9999999999982</v>
      </c>
      <c r="Z27">
        <v>32.119</v>
      </c>
      <c r="AA27">
        <f t="shared" si="27"/>
        <v>3.1679999999999993</v>
      </c>
      <c r="AB27">
        <f t="shared" si="28"/>
        <v>3167.9999999999991</v>
      </c>
      <c r="AC27">
        <f t="shared" si="29"/>
        <v>216.99999999999909</v>
      </c>
      <c r="AD27">
        <v>0.70440106584149909</v>
      </c>
      <c r="AE27">
        <f t="shared" si="1"/>
        <v>0.28176042633659965</v>
      </c>
      <c r="AF27">
        <f t="shared" si="30"/>
        <v>6.4106351550959877</v>
      </c>
      <c r="AG27">
        <f t="shared" si="16"/>
        <v>4.7078286558345557</v>
      </c>
      <c r="AH27">
        <f t="shared" si="31"/>
        <v>1.3264798091876051E-2</v>
      </c>
      <c r="AI27" s="6">
        <f t="shared" si="3"/>
        <v>0.44171777645947247</v>
      </c>
      <c r="AJ27" s="6">
        <v>33.299999999999997</v>
      </c>
      <c r="AK27" s="6">
        <f t="shared" si="4"/>
        <v>0.44171777645947247</v>
      </c>
      <c r="AL27" s="6">
        <f t="shared" si="19"/>
        <v>1.3264798091876051E-2</v>
      </c>
    </row>
    <row r="28" spans="1:38" x14ac:dyDescent="0.2">
      <c r="A28" t="s">
        <v>37</v>
      </c>
      <c r="B28">
        <v>2022</v>
      </c>
      <c r="C28">
        <f t="shared" si="0"/>
        <v>3</v>
      </c>
      <c r="D28">
        <v>3</v>
      </c>
      <c r="E28">
        <v>3</v>
      </c>
      <c r="F28" t="s">
        <v>40</v>
      </c>
      <c r="G28">
        <v>100</v>
      </c>
      <c r="H28">
        <v>40</v>
      </c>
      <c r="I28">
        <f t="shared" si="20"/>
        <v>0.4</v>
      </c>
      <c r="L28">
        <v>30</v>
      </c>
      <c r="M28" s="1">
        <v>14</v>
      </c>
      <c r="N28">
        <v>5.16</v>
      </c>
      <c r="O28">
        <v>43.55</v>
      </c>
      <c r="P28">
        <f t="shared" si="21"/>
        <v>38.39</v>
      </c>
      <c r="Q28">
        <v>27.58</v>
      </c>
      <c r="R28">
        <f t="shared" si="22"/>
        <v>22.419999999999998</v>
      </c>
      <c r="S28">
        <f t="shared" si="23"/>
        <v>15.970000000000002</v>
      </c>
      <c r="T28">
        <f t="shared" si="24"/>
        <v>41.599374837197196</v>
      </c>
      <c r="U28">
        <v>14</v>
      </c>
      <c r="V28">
        <v>27.82</v>
      </c>
      <c r="W28">
        <v>31.556000000000001</v>
      </c>
      <c r="X28">
        <f t="shared" si="25"/>
        <v>3.7360000000000007</v>
      </c>
      <c r="Y28">
        <f t="shared" si="26"/>
        <v>3736.0000000000005</v>
      </c>
      <c r="Z28">
        <v>31.238</v>
      </c>
      <c r="AA28">
        <f t="shared" si="27"/>
        <v>3.4179999999999993</v>
      </c>
      <c r="AB28">
        <f t="shared" si="28"/>
        <v>3417.9999999999991</v>
      </c>
      <c r="AC28">
        <f t="shared" si="29"/>
        <v>318.00000000000136</v>
      </c>
      <c r="AD28">
        <v>0.78573459370935805</v>
      </c>
      <c r="AE28">
        <f t="shared" si="1"/>
        <v>0.31429383748374323</v>
      </c>
      <c r="AF28">
        <f t="shared" si="30"/>
        <v>8.5117773019272303</v>
      </c>
      <c r="AG28">
        <f t="shared" si="16"/>
        <v>5.4642398286938025</v>
      </c>
      <c r="AH28">
        <f t="shared" si="31"/>
        <v>1.7173769046916868E-2</v>
      </c>
      <c r="AI28" s="6">
        <f t="shared" si="3"/>
        <v>0.57188650926233164</v>
      </c>
      <c r="AJ28" s="6">
        <v>33.299999999999997</v>
      </c>
      <c r="AK28" s="6">
        <f t="shared" si="4"/>
        <v>0.57188650926233164</v>
      </c>
      <c r="AL28" s="6">
        <f t="shared" si="19"/>
        <v>1.7173769046916868E-2</v>
      </c>
    </row>
    <row r="29" spans="1:38" x14ac:dyDescent="0.2">
      <c r="A29" t="s">
        <v>43</v>
      </c>
      <c r="B29">
        <v>2022</v>
      </c>
      <c r="C29">
        <f>2025-B29</f>
        <v>3</v>
      </c>
      <c r="D29">
        <v>1</v>
      </c>
      <c r="E29">
        <v>1</v>
      </c>
      <c r="F29" t="s">
        <v>38</v>
      </c>
      <c r="G29">
        <v>50</v>
      </c>
      <c r="H29">
        <v>15</v>
      </c>
      <c r="I29">
        <v>0.3</v>
      </c>
      <c r="K29">
        <v>4</v>
      </c>
      <c r="L29">
        <v>0</v>
      </c>
      <c r="M29">
        <v>7.5</v>
      </c>
      <c r="N29">
        <v>5.15</v>
      </c>
      <c r="O29">
        <v>45.275999999999996</v>
      </c>
      <c r="P29">
        <v>40.125999999999998</v>
      </c>
      <c r="Q29">
        <v>37.389499999999998</v>
      </c>
      <c r="R29">
        <v>32.2395</v>
      </c>
      <c r="S29">
        <v>7.8864999999999981</v>
      </c>
      <c r="T29">
        <v>19.63333607138987</v>
      </c>
      <c r="U29">
        <v>10.5</v>
      </c>
      <c r="V29">
        <v>29.500549999999997</v>
      </c>
      <c r="W29">
        <v>34.151899999999998</v>
      </c>
      <c r="X29">
        <v>4.651349999999999</v>
      </c>
      <c r="Y29">
        <v>4651.3499999999985</v>
      </c>
      <c r="Z29">
        <v>33.929550000000006</v>
      </c>
      <c r="AA29">
        <v>4.4290000000000038</v>
      </c>
      <c r="AB29">
        <v>4429.0000000000036</v>
      </c>
      <c r="AC29">
        <v>222.34999999999491</v>
      </c>
      <c r="AD29">
        <v>1.5449435584168767</v>
      </c>
      <c r="AE29">
        <f t="shared" si="1"/>
        <v>0.46348306752506296</v>
      </c>
      <c r="AF29">
        <v>4.7755451634094346</v>
      </c>
      <c r="AG29">
        <f>0.36*AF29+2.4</f>
        <v>4.1191962588273965</v>
      </c>
      <c r="AH29">
        <f>AE29*(AG29/100)</f>
        <v>1.9091777177790849E-2</v>
      </c>
      <c r="AI29" s="2">
        <f t="shared" ref="AI29:AI60" si="32">AH29*G29</f>
        <v>0.95458885888954248</v>
      </c>
      <c r="AJ29">
        <v>25</v>
      </c>
      <c r="AK29">
        <f>AH29-(AK30+AK31)</f>
        <v>-6.275018798382808E-3</v>
      </c>
      <c r="AL29">
        <f>AK29/AJ29</f>
        <v>-2.5100075193531233E-4</v>
      </c>
    </row>
    <row r="30" spans="1:38" x14ac:dyDescent="0.2">
      <c r="A30" t="s">
        <v>43</v>
      </c>
      <c r="B30">
        <v>2022</v>
      </c>
      <c r="C30">
        <f t="shared" ref="C30:C82" si="33">2025-B30</f>
        <v>3</v>
      </c>
      <c r="D30">
        <v>1</v>
      </c>
      <c r="E30">
        <v>1</v>
      </c>
      <c r="F30" t="s">
        <v>39</v>
      </c>
      <c r="G30">
        <v>25</v>
      </c>
      <c r="H30">
        <v>10</v>
      </c>
      <c r="I30">
        <v>0.4</v>
      </c>
      <c r="K30">
        <v>4</v>
      </c>
      <c r="L30">
        <v>0</v>
      </c>
      <c r="M30">
        <v>9.5</v>
      </c>
      <c r="N30">
        <v>5.14</v>
      </c>
      <c r="O30">
        <v>44.019500000000001</v>
      </c>
      <c r="P30">
        <v>38.8795</v>
      </c>
      <c r="Q30">
        <v>30.148499999999999</v>
      </c>
      <c r="R30">
        <v>25.008499999999998</v>
      </c>
      <c r="S30">
        <v>13.871000000000002</v>
      </c>
      <c r="T30">
        <v>35.819449819457148</v>
      </c>
      <c r="U30">
        <v>11.5</v>
      </c>
      <c r="V30">
        <v>25.383600000000001</v>
      </c>
      <c r="W30">
        <v>29.0246</v>
      </c>
      <c r="X30">
        <v>3.641</v>
      </c>
      <c r="Y30">
        <v>3641</v>
      </c>
      <c r="Z30">
        <v>28.860100000000003</v>
      </c>
      <c r="AA30">
        <v>3.4765000000000015</v>
      </c>
      <c r="AB30">
        <v>3476.5000000000014</v>
      </c>
      <c r="AC30">
        <v>164.49999999999864</v>
      </c>
      <c r="AD30">
        <v>1.5751266302286586</v>
      </c>
      <c r="AE30">
        <f t="shared" si="1"/>
        <v>0.63005065209146349</v>
      </c>
      <c r="AF30">
        <v>4.517088468279038</v>
      </c>
      <c r="AG30">
        <f t="shared" ref="AG30:AG46" si="34">0.36*AF30+2.4</f>
        <v>4.0261518485804535</v>
      </c>
      <c r="AH30">
        <f t="shared" ref="AH30:AH46" si="35">AE30*(AG30/100)</f>
        <v>2.5366795976173657E-2</v>
      </c>
      <c r="AI30" s="2">
        <f t="shared" si="32"/>
        <v>0.63416989940434143</v>
      </c>
      <c r="AJ30">
        <v>15</v>
      </c>
      <c r="AK30">
        <f>AH30-AH31</f>
        <v>-2.2964990810496199E-2</v>
      </c>
      <c r="AL30">
        <f t="shared" ref="AL30:AL46" si="36">AK30/AJ30</f>
        <v>-1.5309993873664134E-3</v>
      </c>
    </row>
    <row r="31" spans="1:38" x14ac:dyDescent="0.2">
      <c r="A31" t="s">
        <v>43</v>
      </c>
      <c r="B31">
        <v>2022</v>
      </c>
      <c r="C31">
        <f t="shared" si="33"/>
        <v>3</v>
      </c>
      <c r="D31">
        <v>1</v>
      </c>
      <c r="E31">
        <v>1</v>
      </c>
      <c r="F31" t="s">
        <v>40</v>
      </c>
      <c r="G31">
        <v>10</v>
      </c>
      <c r="H31">
        <v>8</v>
      </c>
      <c r="I31">
        <v>0.8</v>
      </c>
      <c r="K31">
        <v>4</v>
      </c>
      <c r="L31">
        <v>0</v>
      </c>
      <c r="M31">
        <v>8194.5</v>
      </c>
      <c r="N31">
        <v>5.1099999999999994</v>
      </c>
      <c r="O31">
        <v>38.926500000000004</v>
      </c>
      <c r="P31">
        <v>33.816499999999998</v>
      </c>
      <c r="Q31">
        <v>31.2925</v>
      </c>
      <c r="R31">
        <v>26.182500000000001</v>
      </c>
      <c r="S31">
        <v>7.6340000000000003</v>
      </c>
      <c r="T31">
        <v>22.61742487114789</v>
      </c>
      <c r="U31">
        <v>9.5</v>
      </c>
      <c r="V31">
        <v>24.983249999999998</v>
      </c>
      <c r="W31">
        <v>28.529399999999999</v>
      </c>
      <c r="X31">
        <v>3.546149999999999</v>
      </c>
      <c r="Y31">
        <v>3546.1499999999987</v>
      </c>
      <c r="Z31">
        <v>28.387549999999997</v>
      </c>
      <c r="AA31">
        <v>3.4042999999999992</v>
      </c>
      <c r="AB31">
        <v>3404.2999999999993</v>
      </c>
      <c r="AC31">
        <v>141.84999999999968</v>
      </c>
      <c r="AD31">
        <v>1.5738633378678664</v>
      </c>
      <c r="AE31">
        <f t="shared" si="1"/>
        <v>1.2590906702942932</v>
      </c>
      <c r="AF31">
        <v>3.9961844260926114</v>
      </c>
      <c r="AG31">
        <f t="shared" si="34"/>
        <v>3.8386263933933398</v>
      </c>
      <c r="AH31">
        <f t="shared" si="35"/>
        <v>4.8331786786669856E-2</v>
      </c>
      <c r="AI31" s="2">
        <f t="shared" si="32"/>
        <v>0.48331786786669856</v>
      </c>
      <c r="AJ31">
        <v>10</v>
      </c>
      <c r="AK31">
        <f>AH31</f>
        <v>4.8331786786669856E-2</v>
      </c>
      <c r="AL31">
        <f t="shared" si="36"/>
        <v>4.8331786786669859E-3</v>
      </c>
    </row>
    <row r="32" spans="1:38" x14ac:dyDescent="0.2">
      <c r="A32" t="s">
        <v>43</v>
      </c>
      <c r="B32">
        <v>2022</v>
      </c>
      <c r="C32">
        <f t="shared" si="33"/>
        <v>3</v>
      </c>
      <c r="D32">
        <v>1</v>
      </c>
      <c r="E32">
        <v>2</v>
      </c>
      <c r="F32" s="3" t="s">
        <v>41</v>
      </c>
      <c r="G32">
        <v>50</v>
      </c>
      <c r="H32">
        <v>15</v>
      </c>
      <c r="I32">
        <v>0.3</v>
      </c>
      <c r="K32">
        <v>4</v>
      </c>
      <c r="L32">
        <v>0</v>
      </c>
      <c r="M32">
        <v>13.5</v>
      </c>
      <c r="N32">
        <v>5.15</v>
      </c>
      <c r="O32">
        <v>38.042000000000002</v>
      </c>
      <c r="P32">
        <v>32.891999999999996</v>
      </c>
      <c r="Q32">
        <v>30.730499999999999</v>
      </c>
      <c r="R32">
        <v>25.580500000000001</v>
      </c>
      <c r="S32">
        <v>7.3115000000000006</v>
      </c>
      <c r="T32">
        <v>22.22913295045425</v>
      </c>
      <c r="U32">
        <v>9.5</v>
      </c>
      <c r="V32">
        <v>27.394449999999999</v>
      </c>
      <c r="W32">
        <v>31.1037</v>
      </c>
      <c r="X32">
        <v>3.7092500000000008</v>
      </c>
      <c r="Y32">
        <v>3709.2500000000009</v>
      </c>
      <c r="Z32">
        <v>30.954999999999998</v>
      </c>
      <c r="AA32">
        <v>3.560550000000001</v>
      </c>
      <c r="AB32">
        <v>3560.5500000000011</v>
      </c>
      <c r="AC32">
        <v>148.69999999999959</v>
      </c>
      <c r="AD32">
        <v>1.5449435584168767</v>
      </c>
      <c r="AE32">
        <f t="shared" si="1"/>
        <v>0.46348306752506296</v>
      </c>
      <c r="AF32">
        <v>4.0092706536983567</v>
      </c>
      <c r="AG32">
        <f t="shared" si="34"/>
        <v>3.8433374353314083</v>
      </c>
      <c r="AH32">
        <f t="shared" si="35"/>
        <v>1.7813218240613094E-2</v>
      </c>
      <c r="AI32" s="2">
        <f t="shared" si="32"/>
        <v>0.89066091203065467</v>
      </c>
      <c r="AJ32">
        <v>25</v>
      </c>
      <c r="AK32">
        <f>AH32-(AK33+AK34)</f>
        <v>-1.0274018014893326E-2</v>
      </c>
      <c r="AL32">
        <f t="shared" si="36"/>
        <v>-4.1096072059573302E-4</v>
      </c>
    </row>
    <row r="33" spans="1:38" x14ac:dyDescent="0.2">
      <c r="A33" t="s">
        <v>43</v>
      </c>
      <c r="B33">
        <v>2022</v>
      </c>
      <c r="C33">
        <f t="shared" si="33"/>
        <v>3</v>
      </c>
      <c r="D33">
        <v>1</v>
      </c>
      <c r="E33">
        <v>2</v>
      </c>
      <c r="F33" t="s">
        <v>39</v>
      </c>
      <c r="G33">
        <v>25</v>
      </c>
      <c r="H33">
        <v>12</v>
      </c>
      <c r="I33">
        <v>0.48</v>
      </c>
      <c r="K33">
        <v>4</v>
      </c>
      <c r="L33">
        <v>0</v>
      </c>
      <c r="M33">
        <v>15.5</v>
      </c>
      <c r="N33">
        <v>5.1099999999999994</v>
      </c>
      <c r="O33">
        <v>41.954499999999996</v>
      </c>
      <c r="P33">
        <v>36.844499999999996</v>
      </c>
      <c r="Q33">
        <v>34.326499999999996</v>
      </c>
      <c r="R33">
        <v>29.2165</v>
      </c>
      <c r="S33">
        <v>7.6280000000000001</v>
      </c>
      <c r="T33">
        <v>20.767792694417871</v>
      </c>
      <c r="U33">
        <v>16.5</v>
      </c>
      <c r="V33">
        <v>28.714199999999998</v>
      </c>
      <c r="W33">
        <v>31.58295</v>
      </c>
      <c r="X33">
        <v>2.8687500000000004</v>
      </c>
      <c r="Y33">
        <v>2868.7500000000005</v>
      </c>
      <c r="Z33">
        <v>31.477699999999999</v>
      </c>
      <c r="AA33">
        <v>2.7634999999999987</v>
      </c>
      <c r="AB33">
        <v>2763.4999999999986</v>
      </c>
      <c r="AC33">
        <v>105.25000000000182</v>
      </c>
      <c r="AD33">
        <v>1.5751266302286586</v>
      </c>
      <c r="AE33">
        <f t="shared" si="1"/>
        <v>0.75606078250975606</v>
      </c>
      <c r="AF33">
        <v>3.6526228024618685</v>
      </c>
      <c r="AG33">
        <f t="shared" si="34"/>
        <v>3.7149442088862727</v>
      </c>
      <c r="AH33">
        <f t="shared" si="35"/>
        <v>2.808723625550642E-2</v>
      </c>
      <c r="AI33" s="2">
        <f t="shared" si="32"/>
        <v>0.70218090638766051</v>
      </c>
      <c r="AJ33">
        <v>15</v>
      </c>
      <c r="AK33">
        <f>AH33-AH34</f>
        <v>-2.7715812861611348E-2</v>
      </c>
      <c r="AL33">
        <f t="shared" si="36"/>
        <v>-1.8477208574407566E-3</v>
      </c>
    </row>
    <row r="34" spans="1:38" x14ac:dyDescent="0.2">
      <c r="A34" t="s">
        <v>43</v>
      </c>
      <c r="B34">
        <v>2022</v>
      </c>
      <c r="C34">
        <f t="shared" si="33"/>
        <v>3</v>
      </c>
      <c r="D34">
        <v>1</v>
      </c>
      <c r="E34">
        <v>2</v>
      </c>
      <c r="F34" t="s">
        <v>40</v>
      </c>
      <c r="G34">
        <v>10</v>
      </c>
      <c r="H34">
        <v>9</v>
      </c>
      <c r="I34">
        <v>0.9</v>
      </c>
      <c r="K34">
        <v>4</v>
      </c>
      <c r="L34">
        <v>0</v>
      </c>
      <c r="M34">
        <v>17.5</v>
      </c>
      <c r="N34">
        <v>5.09</v>
      </c>
      <c r="O34">
        <v>38.939</v>
      </c>
      <c r="P34">
        <v>33.849000000000004</v>
      </c>
      <c r="Q34">
        <v>31.270499999999998</v>
      </c>
      <c r="R34">
        <v>26.180500000000002</v>
      </c>
      <c r="S34">
        <v>7.6684999999999999</v>
      </c>
      <c r="T34">
        <v>22.655391683424611</v>
      </c>
      <c r="U34">
        <v>11</v>
      </c>
      <c r="V34">
        <v>27.58765</v>
      </c>
      <c r="W34">
        <v>30.893250000000002</v>
      </c>
      <c r="X34">
        <v>3.3056000000000001</v>
      </c>
      <c r="Y34">
        <v>3305.6000000000004</v>
      </c>
      <c r="Z34">
        <v>30.751550000000002</v>
      </c>
      <c r="AA34">
        <v>3.1638999999999999</v>
      </c>
      <c r="AB34">
        <v>3163.8999999999996</v>
      </c>
      <c r="AC34">
        <v>141.70000000000027</v>
      </c>
      <c r="AD34">
        <v>1.5738633378678664</v>
      </c>
      <c r="AE34">
        <f t="shared" si="1"/>
        <v>1.4164770040810797</v>
      </c>
      <c r="AF34">
        <v>4.2765727451394735</v>
      </c>
      <c r="AG34">
        <f t="shared" si="34"/>
        <v>3.9395661882502102</v>
      </c>
      <c r="AH34">
        <f t="shared" si="35"/>
        <v>5.5803049117117767E-2</v>
      </c>
      <c r="AI34" s="2">
        <f t="shared" si="32"/>
        <v>0.55803049117117764</v>
      </c>
      <c r="AJ34">
        <v>10</v>
      </c>
      <c r="AK34">
        <f>AH34</f>
        <v>5.5803049117117767E-2</v>
      </c>
      <c r="AL34">
        <f t="shared" si="36"/>
        <v>5.5803049117117767E-3</v>
      </c>
    </row>
    <row r="35" spans="1:38" x14ac:dyDescent="0.2">
      <c r="A35" t="s">
        <v>43</v>
      </c>
      <c r="B35">
        <v>2022</v>
      </c>
      <c r="C35">
        <f t="shared" si="33"/>
        <v>3</v>
      </c>
      <c r="D35">
        <v>1</v>
      </c>
      <c r="E35">
        <v>3</v>
      </c>
      <c r="F35" s="3" t="s">
        <v>41</v>
      </c>
      <c r="G35">
        <v>50</v>
      </c>
      <c r="H35">
        <v>17</v>
      </c>
      <c r="I35">
        <v>0.34</v>
      </c>
      <c r="K35">
        <v>4</v>
      </c>
      <c r="L35">
        <v>0</v>
      </c>
      <c r="M35">
        <v>19.5</v>
      </c>
      <c r="N35">
        <v>5.09</v>
      </c>
      <c r="O35">
        <v>40.603499999999997</v>
      </c>
      <c r="P35">
        <v>35.513500000000001</v>
      </c>
      <c r="Q35">
        <v>33.572000000000003</v>
      </c>
      <c r="R35">
        <v>28.481999999999999</v>
      </c>
      <c r="S35">
        <v>7.0315000000000012</v>
      </c>
      <c r="T35">
        <v>19.828099010110847</v>
      </c>
      <c r="U35">
        <v>15</v>
      </c>
      <c r="V35">
        <v>28.393799999999999</v>
      </c>
      <c r="W35">
        <v>31.583100000000002</v>
      </c>
      <c r="X35">
        <v>3.1892999999999994</v>
      </c>
      <c r="Y35">
        <v>3189.2999999999993</v>
      </c>
      <c r="Z35">
        <v>31.457000000000001</v>
      </c>
      <c r="AA35">
        <v>3.0632000000000001</v>
      </c>
      <c r="AB35">
        <v>3063.2</v>
      </c>
      <c r="AC35">
        <v>126.09999999999945</v>
      </c>
      <c r="AD35">
        <v>1.5449435584168767</v>
      </c>
      <c r="AE35">
        <f t="shared" si="1"/>
        <v>0.52528080986173808</v>
      </c>
      <c r="AF35">
        <v>3.9498985633227015</v>
      </c>
      <c r="AG35">
        <f t="shared" si="34"/>
        <v>3.8219634827961722</v>
      </c>
      <c r="AH35">
        <f t="shared" si="35"/>
        <v>2.0076040735051624E-2</v>
      </c>
      <c r="AI35" s="2">
        <f t="shared" si="32"/>
        <v>1.0038020367525813</v>
      </c>
      <c r="AJ35">
        <v>25</v>
      </c>
      <c r="AK35">
        <f>AH35-(AK36+AK37)</f>
        <v>-1.6430608569006567E-2</v>
      </c>
      <c r="AL35">
        <f t="shared" si="36"/>
        <v>-6.5722434276026264E-4</v>
      </c>
    </row>
    <row r="36" spans="1:38" x14ac:dyDescent="0.2">
      <c r="A36" t="s">
        <v>43</v>
      </c>
      <c r="B36">
        <v>2022</v>
      </c>
      <c r="C36">
        <f t="shared" si="33"/>
        <v>3</v>
      </c>
      <c r="D36">
        <v>1</v>
      </c>
      <c r="E36">
        <v>3</v>
      </c>
      <c r="F36" t="s">
        <v>39</v>
      </c>
      <c r="G36">
        <v>25</v>
      </c>
      <c r="H36">
        <v>15</v>
      </c>
      <c r="I36">
        <v>0.6</v>
      </c>
      <c r="K36">
        <v>4</v>
      </c>
      <c r="L36">
        <v>0</v>
      </c>
      <c r="M36">
        <v>21.5</v>
      </c>
      <c r="N36">
        <v>5.04</v>
      </c>
      <c r="O36">
        <v>39.876000000000005</v>
      </c>
      <c r="P36">
        <v>34.835999999999999</v>
      </c>
      <c r="Q36">
        <v>32.115000000000002</v>
      </c>
      <c r="R36">
        <v>27.075000000000003</v>
      </c>
      <c r="S36">
        <v>7.761000000000001</v>
      </c>
      <c r="T36">
        <v>22.313248278176172</v>
      </c>
      <c r="U36">
        <v>4</v>
      </c>
      <c r="V36">
        <v>27.612949999999998</v>
      </c>
      <c r="W36">
        <v>30.475299999999997</v>
      </c>
      <c r="X36">
        <v>2.8623499999999993</v>
      </c>
      <c r="Y36">
        <v>2862.3499999999995</v>
      </c>
      <c r="Z36">
        <v>30.35905</v>
      </c>
      <c r="AA36">
        <v>2.7461000000000002</v>
      </c>
      <c r="AB36">
        <v>2746.1000000000004</v>
      </c>
      <c r="AC36">
        <v>116.24999999999909</v>
      </c>
      <c r="AD36">
        <v>1.5751266302286586</v>
      </c>
      <c r="AE36">
        <f t="shared" si="1"/>
        <v>0.94507597813719513</v>
      </c>
      <c r="AF36">
        <v>4.0634081129102917</v>
      </c>
      <c r="AG36">
        <f t="shared" si="34"/>
        <v>3.8628269206477048</v>
      </c>
      <c r="AH36">
        <f t="shared" si="35"/>
        <v>3.650664930405819E-2</v>
      </c>
      <c r="AI36" s="2">
        <f t="shared" si="32"/>
        <v>0.91266623260145474</v>
      </c>
      <c r="AJ36">
        <v>15</v>
      </c>
      <c r="AK36">
        <f>AH36-AH37</f>
        <v>-2.5181308316649373E-2</v>
      </c>
      <c r="AL36">
        <f t="shared" si="36"/>
        <v>-1.6787538877766248E-3</v>
      </c>
    </row>
    <row r="37" spans="1:38" x14ac:dyDescent="0.2">
      <c r="A37" t="s">
        <v>43</v>
      </c>
      <c r="B37">
        <v>2022</v>
      </c>
      <c r="C37">
        <f t="shared" si="33"/>
        <v>3</v>
      </c>
      <c r="D37">
        <v>1</v>
      </c>
      <c r="E37">
        <v>3</v>
      </c>
      <c r="F37" t="s">
        <v>40</v>
      </c>
      <c r="G37">
        <v>10</v>
      </c>
      <c r="H37">
        <v>10</v>
      </c>
      <c r="I37">
        <v>1</v>
      </c>
      <c r="K37">
        <v>4</v>
      </c>
      <c r="L37">
        <v>0</v>
      </c>
      <c r="M37">
        <v>24</v>
      </c>
      <c r="N37">
        <v>5.1150000000000002</v>
      </c>
      <c r="O37">
        <v>42.016999999999996</v>
      </c>
      <c r="P37">
        <v>36.902000000000001</v>
      </c>
      <c r="Q37">
        <v>34.325500000000005</v>
      </c>
      <c r="R37">
        <v>29.210500000000003</v>
      </c>
      <c r="S37">
        <v>7.6914999999999978</v>
      </c>
      <c r="T37">
        <v>20.84263346229438</v>
      </c>
      <c r="U37">
        <v>12</v>
      </c>
      <c r="V37">
        <v>30.023350000000001</v>
      </c>
      <c r="W37">
        <v>33.0518</v>
      </c>
      <c r="X37">
        <v>3.0284500000000012</v>
      </c>
      <c r="Y37">
        <v>3028.4500000000012</v>
      </c>
      <c r="Z37">
        <v>32.923900000000003</v>
      </c>
      <c r="AA37">
        <v>2.9005500000000044</v>
      </c>
      <c r="AB37">
        <v>2900.5500000000043</v>
      </c>
      <c r="AC37">
        <v>127.89999999999691</v>
      </c>
      <c r="AD37">
        <v>1.5738633378678664</v>
      </c>
      <c r="AE37">
        <f t="shared" si="1"/>
        <v>1.5738633378678664</v>
      </c>
      <c r="AF37">
        <v>4.2209011235225571</v>
      </c>
      <c r="AG37">
        <f t="shared" si="34"/>
        <v>3.9195244044681203</v>
      </c>
      <c r="AH37">
        <f t="shared" si="35"/>
        <v>6.1687957620707563E-2</v>
      </c>
      <c r="AI37" s="2">
        <f t="shared" si="32"/>
        <v>0.61687957620707567</v>
      </c>
      <c r="AJ37">
        <v>10</v>
      </c>
      <c r="AK37">
        <f>AH37</f>
        <v>6.1687957620707563E-2</v>
      </c>
      <c r="AL37">
        <f t="shared" si="36"/>
        <v>6.1687957620707567E-3</v>
      </c>
    </row>
    <row r="38" spans="1:38" x14ac:dyDescent="0.2">
      <c r="A38" t="s">
        <v>43</v>
      </c>
      <c r="B38">
        <v>2014</v>
      </c>
      <c r="C38">
        <f t="shared" si="33"/>
        <v>11</v>
      </c>
      <c r="D38">
        <v>2</v>
      </c>
      <c r="E38">
        <v>1</v>
      </c>
      <c r="F38" s="3" t="s">
        <v>41</v>
      </c>
      <c r="G38">
        <v>50</v>
      </c>
      <c r="H38">
        <v>17</v>
      </c>
      <c r="I38">
        <v>0.34</v>
      </c>
      <c r="K38">
        <v>4</v>
      </c>
      <c r="L38">
        <v>0</v>
      </c>
      <c r="M38">
        <v>25.5</v>
      </c>
      <c r="N38">
        <v>5.0049999999999999</v>
      </c>
      <c r="O38">
        <v>38.354500000000002</v>
      </c>
      <c r="P38">
        <v>33.349499999999999</v>
      </c>
      <c r="Q38">
        <v>30.297000000000001</v>
      </c>
      <c r="R38">
        <v>25.292000000000002</v>
      </c>
      <c r="S38">
        <v>8.057500000000001</v>
      </c>
      <c r="T38">
        <v>24.162050977540069</v>
      </c>
      <c r="U38">
        <v>16.5</v>
      </c>
      <c r="V38">
        <v>27.600899999999999</v>
      </c>
      <c r="W38">
        <v>30.536549999999998</v>
      </c>
      <c r="X38">
        <v>2.9356500000000008</v>
      </c>
      <c r="Y38">
        <v>2935.6500000000005</v>
      </c>
      <c r="Z38">
        <v>30.383400000000002</v>
      </c>
      <c r="AA38">
        <v>2.7825000000000006</v>
      </c>
      <c r="AB38">
        <v>2782.5000000000005</v>
      </c>
      <c r="AC38">
        <v>153.15000000000032</v>
      </c>
      <c r="AD38">
        <v>1.5449435584168767</v>
      </c>
      <c r="AE38">
        <f t="shared" si="1"/>
        <v>0.52528080986173808</v>
      </c>
      <c r="AF38">
        <v>5.2154125765427741</v>
      </c>
      <c r="AG38">
        <f t="shared" si="34"/>
        <v>4.2775485275553988</v>
      </c>
      <c r="AH38">
        <f t="shared" si="35"/>
        <v>2.2469141547771854E-2</v>
      </c>
      <c r="AI38" s="2">
        <f t="shared" si="32"/>
        <v>1.1234570773885926</v>
      </c>
      <c r="AJ38">
        <v>25</v>
      </c>
      <c r="AK38">
        <f>AH38-(AK39+AK40)</f>
        <v>-1.996467924933007E-3</v>
      </c>
      <c r="AL38">
        <f t="shared" si="36"/>
        <v>-7.9858716997320274E-5</v>
      </c>
    </row>
    <row r="39" spans="1:38" x14ac:dyDescent="0.2">
      <c r="A39" t="s">
        <v>43</v>
      </c>
      <c r="B39">
        <v>2014</v>
      </c>
      <c r="C39">
        <f t="shared" si="33"/>
        <v>11</v>
      </c>
      <c r="D39">
        <v>2</v>
      </c>
      <c r="E39">
        <v>1</v>
      </c>
      <c r="F39" t="s">
        <v>39</v>
      </c>
      <c r="G39">
        <v>25</v>
      </c>
      <c r="H39">
        <v>9</v>
      </c>
      <c r="I39">
        <v>0.36</v>
      </c>
      <c r="K39">
        <v>4</v>
      </c>
      <c r="L39">
        <v>0</v>
      </c>
      <c r="M39">
        <v>27.5</v>
      </c>
      <c r="N39">
        <v>4.9800000000000004</v>
      </c>
      <c r="O39">
        <v>40.520000000000003</v>
      </c>
      <c r="P39">
        <v>35.540000000000006</v>
      </c>
      <c r="Q39">
        <v>30.2745</v>
      </c>
      <c r="R39">
        <v>25.294499999999999</v>
      </c>
      <c r="S39">
        <v>10.245500000000003</v>
      </c>
      <c r="T39">
        <v>28.855908645406373</v>
      </c>
      <c r="U39">
        <v>15.5</v>
      </c>
      <c r="V39">
        <v>28.996649999999999</v>
      </c>
      <c r="W39">
        <v>31.681649999999998</v>
      </c>
      <c r="X39">
        <v>2.6850000000000005</v>
      </c>
      <c r="Y39">
        <v>2685.0000000000009</v>
      </c>
      <c r="Z39">
        <v>31.538499999999999</v>
      </c>
      <c r="AA39">
        <v>2.5418500000000002</v>
      </c>
      <c r="AB39">
        <v>2541.8500000000004</v>
      </c>
      <c r="AC39">
        <v>143.15000000000055</v>
      </c>
      <c r="AD39">
        <v>1.5751266302286586</v>
      </c>
      <c r="AE39">
        <f t="shared" si="1"/>
        <v>0.5670455868823171</v>
      </c>
      <c r="AF39">
        <v>5.3182650363946742</v>
      </c>
      <c r="AG39">
        <f t="shared" si="34"/>
        <v>4.3145754131020828</v>
      </c>
      <c r="AH39">
        <f t="shared" si="35"/>
        <v>2.4465609472704864E-2</v>
      </c>
      <c r="AI39" s="2">
        <f t="shared" si="32"/>
        <v>0.61164023681762159</v>
      </c>
      <c r="AJ39">
        <v>15</v>
      </c>
      <c r="AK39">
        <f>AH39-AH40</f>
        <v>-3.8670473068927722E-2</v>
      </c>
      <c r="AL39">
        <f t="shared" si="36"/>
        <v>-2.5780315379285148E-3</v>
      </c>
    </row>
    <row r="40" spans="1:38" x14ac:dyDescent="0.2">
      <c r="A40" t="s">
        <v>43</v>
      </c>
      <c r="B40">
        <v>2014</v>
      </c>
      <c r="C40">
        <f t="shared" si="33"/>
        <v>11</v>
      </c>
      <c r="D40">
        <v>2</v>
      </c>
      <c r="E40">
        <v>1</v>
      </c>
      <c r="F40" t="s">
        <v>40</v>
      </c>
      <c r="G40">
        <v>10</v>
      </c>
      <c r="H40">
        <v>10</v>
      </c>
      <c r="I40">
        <v>1</v>
      </c>
      <c r="K40">
        <v>4</v>
      </c>
      <c r="L40">
        <v>0</v>
      </c>
      <c r="M40">
        <v>29.5</v>
      </c>
      <c r="N40">
        <v>5.03</v>
      </c>
      <c r="O40">
        <v>41.394000000000005</v>
      </c>
      <c r="P40">
        <v>36.364000000000004</v>
      </c>
      <c r="Q40">
        <v>31.616500000000002</v>
      </c>
      <c r="R40">
        <v>26.586500000000001</v>
      </c>
      <c r="S40">
        <v>9.7775000000000016</v>
      </c>
      <c r="T40">
        <v>26.885909043659233</v>
      </c>
      <c r="U40">
        <v>11.5</v>
      </c>
      <c r="V40">
        <v>29.570550000000001</v>
      </c>
      <c r="W40">
        <v>33.342300000000002</v>
      </c>
      <c r="X40">
        <v>3.7717500000000008</v>
      </c>
      <c r="Y40">
        <v>3771.7500000000009</v>
      </c>
      <c r="Z40">
        <v>33.173649999999995</v>
      </c>
      <c r="AA40">
        <v>3.6030999999999977</v>
      </c>
      <c r="AB40">
        <v>3603.0999999999976</v>
      </c>
      <c r="AC40">
        <v>168.65000000000305</v>
      </c>
      <c r="AD40">
        <v>1.5738633378678664</v>
      </c>
      <c r="AE40">
        <f t="shared" si="1"/>
        <v>1.5738633378678664</v>
      </c>
      <c r="AF40">
        <v>4.476486797831555</v>
      </c>
      <c r="AG40">
        <f t="shared" si="34"/>
        <v>4.0115352472193599</v>
      </c>
      <c r="AH40">
        <f t="shared" si="35"/>
        <v>6.3136082541632582E-2</v>
      </c>
      <c r="AI40" s="2">
        <f t="shared" si="32"/>
        <v>0.63136082541632588</v>
      </c>
      <c r="AJ40">
        <v>10</v>
      </c>
      <c r="AK40">
        <f>AH40</f>
        <v>6.3136082541632582E-2</v>
      </c>
      <c r="AL40">
        <f t="shared" si="36"/>
        <v>6.3136082541632582E-3</v>
      </c>
    </row>
    <row r="41" spans="1:38" x14ac:dyDescent="0.2">
      <c r="A41" t="s">
        <v>43</v>
      </c>
      <c r="B41">
        <v>2014</v>
      </c>
      <c r="C41">
        <f t="shared" si="33"/>
        <v>11</v>
      </c>
      <c r="D41">
        <v>2</v>
      </c>
      <c r="E41">
        <v>2</v>
      </c>
      <c r="F41" s="3" t="s">
        <v>41</v>
      </c>
      <c r="G41">
        <v>50</v>
      </c>
      <c r="H41">
        <v>25</v>
      </c>
      <c r="I41">
        <v>0.5</v>
      </c>
      <c r="K41">
        <v>4</v>
      </c>
      <c r="L41">
        <v>0</v>
      </c>
      <c r="M41">
        <v>31.5</v>
      </c>
      <c r="N41">
        <v>4.9849999999999994</v>
      </c>
      <c r="O41">
        <v>41.088499999999996</v>
      </c>
      <c r="P41">
        <v>36.103499999999997</v>
      </c>
      <c r="Q41">
        <v>32.519999999999996</v>
      </c>
      <c r="R41">
        <v>27.535</v>
      </c>
      <c r="S41">
        <v>8.5685000000000002</v>
      </c>
      <c r="T41">
        <v>23.73610027123307</v>
      </c>
      <c r="U41">
        <v>6.5</v>
      </c>
      <c r="V41">
        <v>27.044600000000003</v>
      </c>
      <c r="W41">
        <v>29.898150000000001</v>
      </c>
      <c r="X41">
        <v>2.8535499999999985</v>
      </c>
      <c r="Y41">
        <v>2853.5499999999984</v>
      </c>
      <c r="Z41">
        <v>29.80585</v>
      </c>
      <c r="AA41">
        <v>2.7612499999999986</v>
      </c>
      <c r="AB41">
        <v>2761.2499999999986</v>
      </c>
      <c r="AC41">
        <v>92.299999999999955</v>
      </c>
      <c r="AD41">
        <v>1.5449435584168767</v>
      </c>
      <c r="AE41">
        <f t="shared" si="1"/>
        <v>0.77247177920843835</v>
      </c>
      <c r="AF41">
        <v>3.0848442444795259</v>
      </c>
      <c r="AG41">
        <f t="shared" si="34"/>
        <v>3.5105439280126292</v>
      </c>
      <c r="AH41">
        <f t="shared" si="35"/>
        <v>2.7117961140612955E-2</v>
      </c>
      <c r="AI41" s="2">
        <f t="shared" si="32"/>
        <v>1.3558980570306478</v>
      </c>
      <c r="AJ41">
        <v>25</v>
      </c>
      <c r="AK41">
        <f>AH41-(AK42+AK43)</f>
        <v>-1.4895705460987597E-2</v>
      </c>
      <c r="AL41">
        <f t="shared" si="36"/>
        <v>-5.9582821843950386E-4</v>
      </c>
    </row>
    <row r="42" spans="1:38" x14ac:dyDescent="0.2">
      <c r="A42" t="s">
        <v>43</v>
      </c>
      <c r="B42">
        <v>2014</v>
      </c>
      <c r="C42">
        <f t="shared" si="33"/>
        <v>11</v>
      </c>
      <c r="D42">
        <v>2</v>
      </c>
      <c r="E42">
        <v>2</v>
      </c>
      <c r="F42" t="s">
        <v>39</v>
      </c>
      <c r="G42">
        <v>25</v>
      </c>
      <c r="H42">
        <v>15</v>
      </c>
      <c r="I42">
        <v>0.6</v>
      </c>
      <c r="K42">
        <v>4</v>
      </c>
      <c r="L42">
        <v>0</v>
      </c>
      <c r="M42">
        <v>33.5</v>
      </c>
      <c r="N42">
        <v>4.9749999999999996</v>
      </c>
      <c r="O42">
        <v>37.304000000000002</v>
      </c>
      <c r="P42">
        <v>32.328999999999994</v>
      </c>
      <c r="Q42">
        <v>28.5945</v>
      </c>
      <c r="R42">
        <v>23.619499999999999</v>
      </c>
      <c r="S42">
        <v>8.7094999999999985</v>
      </c>
      <c r="T42">
        <v>26.936526390785325</v>
      </c>
      <c r="U42">
        <v>20.5</v>
      </c>
      <c r="V42">
        <v>29.8047</v>
      </c>
      <c r="W42">
        <v>32.8005</v>
      </c>
      <c r="X42">
        <v>2.9958000000000009</v>
      </c>
      <c r="Y42">
        <v>2995.8000000000011</v>
      </c>
      <c r="Z42">
        <v>32.630400000000002</v>
      </c>
      <c r="AA42">
        <v>2.8257000000000012</v>
      </c>
      <c r="AB42">
        <v>2825.7000000000012</v>
      </c>
      <c r="AC42">
        <v>170.09999999999968</v>
      </c>
      <c r="AD42">
        <v>1.5751266302286586</v>
      </c>
      <c r="AE42">
        <f t="shared" si="1"/>
        <v>0.94507597813719513</v>
      </c>
      <c r="AF42">
        <v>5.682036733764976</v>
      </c>
      <c r="AG42">
        <f t="shared" si="34"/>
        <v>4.4455332241553913</v>
      </c>
      <c r="AH42">
        <f t="shared" si="35"/>
        <v>4.2013666601600552E-2</v>
      </c>
      <c r="AI42" s="2">
        <f t="shared" si="32"/>
        <v>1.0503416650400137</v>
      </c>
      <c r="AJ42">
        <v>15</v>
      </c>
      <c r="AK42">
        <f>AH42-AH43</f>
        <v>-3.3330390204507301E-2</v>
      </c>
      <c r="AL42">
        <f t="shared" si="36"/>
        <v>-2.22202601363382E-3</v>
      </c>
    </row>
    <row r="43" spans="1:38" x14ac:dyDescent="0.2">
      <c r="A43" t="s">
        <v>43</v>
      </c>
      <c r="B43">
        <v>2014</v>
      </c>
      <c r="C43">
        <f t="shared" si="33"/>
        <v>11</v>
      </c>
      <c r="D43">
        <v>2</v>
      </c>
      <c r="E43">
        <v>2</v>
      </c>
      <c r="F43" t="s">
        <v>40</v>
      </c>
      <c r="G43">
        <v>10</v>
      </c>
      <c r="H43">
        <v>10</v>
      </c>
      <c r="I43">
        <v>1</v>
      </c>
      <c r="K43">
        <v>4</v>
      </c>
      <c r="L43">
        <v>0</v>
      </c>
      <c r="M43">
        <v>35.5</v>
      </c>
      <c r="N43">
        <v>5.0600000000000005</v>
      </c>
      <c r="O43">
        <v>39.467500000000001</v>
      </c>
      <c r="P43">
        <v>34.407499999999999</v>
      </c>
      <c r="Q43">
        <v>29.176499999999997</v>
      </c>
      <c r="R43">
        <v>24.116499999999998</v>
      </c>
      <c r="S43">
        <v>10.291000000000002</v>
      </c>
      <c r="T43">
        <v>29.960112242430647</v>
      </c>
      <c r="U43">
        <v>11</v>
      </c>
      <c r="V43">
        <v>26.31325</v>
      </c>
      <c r="W43">
        <v>29.920299999999997</v>
      </c>
      <c r="X43">
        <v>3.6070499999999992</v>
      </c>
      <c r="Y43">
        <v>3607.0499999999993</v>
      </c>
      <c r="Z43">
        <v>29.681449999999998</v>
      </c>
      <c r="AA43">
        <v>3.3681999999999999</v>
      </c>
      <c r="AB43">
        <v>3368.2</v>
      </c>
      <c r="AC43">
        <v>238.84999999999945</v>
      </c>
      <c r="AD43">
        <v>1.5738633378678664</v>
      </c>
      <c r="AE43">
        <f t="shared" si="1"/>
        <v>1.5738633378678664</v>
      </c>
      <c r="AF43">
        <v>6.6311236590905631</v>
      </c>
      <c r="AG43">
        <f t="shared" si="34"/>
        <v>4.7872045172726025</v>
      </c>
      <c r="AH43">
        <f t="shared" si="35"/>
        <v>7.5344056806107854E-2</v>
      </c>
      <c r="AI43" s="2">
        <f t="shared" si="32"/>
        <v>0.75344056806107851</v>
      </c>
      <c r="AJ43">
        <v>10</v>
      </c>
      <c r="AK43">
        <f>AH43</f>
        <v>7.5344056806107854E-2</v>
      </c>
      <c r="AL43">
        <f t="shared" si="36"/>
        <v>7.5344056806107857E-3</v>
      </c>
    </row>
    <row r="44" spans="1:38" x14ac:dyDescent="0.2">
      <c r="A44" t="s">
        <v>43</v>
      </c>
      <c r="B44">
        <v>2014</v>
      </c>
      <c r="C44">
        <f t="shared" si="33"/>
        <v>11</v>
      </c>
      <c r="D44">
        <v>2</v>
      </c>
      <c r="E44">
        <v>3</v>
      </c>
      <c r="F44" t="s">
        <v>41</v>
      </c>
      <c r="G44">
        <v>40</v>
      </c>
      <c r="H44">
        <v>15</v>
      </c>
      <c r="I44">
        <v>0.375</v>
      </c>
      <c r="K44">
        <v>4</v>
      </c>
      <c r="L44">
        <v>0</v>
      </c>
      <c r="M44">
        <v>37.5</v>
      </c>
      <c r="N44">
        <v>5.085</v>
      </c>
      <c r="O44">
        <v>35.634</v>
      </c>
      <c r="P44">
        <v>30.548999999999999</v>
      </c>
      <c r="Q44">
        <v>27.603999999999999</v>
      </c>
      <c r="R44">
        <v>22.518999999999998</v>
      </c>
      <c r="S44">
        <v>8.0300000000000011</v>
      </c>
      <c r="T44">
        <v>26.287475953981502</v>
      </c>
      <c r="U44">
        <v>8.5</v>
      </c>
      <c r="V44">
        <v>28.383099999999999</v>
      </c>
      <c r="W44">
        <v>31.561450000000001</v>
      </c>
      <c r="X44">
        <v>3.17835</v>
      </c>
      <c r="Y44">
        <v>3178.35</v>
      </c>
      <c r="Z44">
        <v>31.373800000000003</v>
      </c>
      <c r="AA44">
        <v>2.9907000000000004</v>
      </c>
      <c r="AB44">
        <v>2990.7000000000007</v>
      </c>
      <c r="AC44">
        <v>187.64999999999941</v>
      </c>
      <c r="AD44">
        <v>1.5449435584168767</v>
      </c>
      <c r="AE44">
        <f t="shared" si="1"/>
        <v>0.5793538344063287</v>
      </c>
      <c r="AF44">
        <v>5.903562911516973</v>
      </c>
      <c r="AG44">
        <f t="shared" si="34"/>
        <v>4.5252826481461099</v>
      </c>
      <c r="AH44">
        <f t="shared" si="35"/>
        <v>2.6217398539758737E-2</v>
      </c>
      <c r="AI44" s="2">
        <f t="shared" si="32"/>
        <v>1.0486959415903494</v>
      </c>
      <c r="AJ44">
        <v>25</v>
      </c>
      <c r="AK44">
        <f>AH44-(AK45+AK46)</f>
        <v>-3.5860297875811749E-3</v>
      </c>
      <c r="AL44">
        <f t="shared" si="36"/>
        <v>-1.43441191503247E-4</v>
      </c>
    </row>
    <row r="45" spans="1:38" x14ac:dyDescent="0.2">
      <c r="A45" t="s">
        <v>43</v>
      </c>
      <c r="B45">
        <v>2014</v>
      </c>
      <c r="C45">
        <f t="shared" si="33"/>
        <v>11</v>
      </c>
      <c r="D45">
        <v>2</v>
      </c>
      <c r="E45">
        <v>3</v>
      </c>
      <c r="F45" t="s">
        <v>39</v>
      </c>
      <c r="G45">
        <v>25</v>
      </c>
      <c r="H45">
        <v>11</v>
      </c>
      <c r="I45">
        <v>0.44</v>
      </c>
      <c r="K45">
        <v>4</v>
      </c>
      <c r="L45">
        <v>0</v>
      </c>
      <c r="M45">
        <v>39.5</v>
      </c>
      <c r="N45">
        <v>5.1349999999999998</v>
      </c>
      <c r="O45">
        <v>38.344000000000001</v>
      </c>
      <c r="P45">
        <v>33.209000000000003</v>
      </c>
      <c r="Q45">
        <v>29.087</v>
      </c>
      <c r="R45">
        <v>23.951999999999998</v>
      </c>
      <c r="S45">
        <v>9.2570000000000014</v>
      </c>
      <c r="T45">
        <v>27.86147490767344</v>
      </c>
      <c r="U45">
        <v>8.5</v>
      </c>
      <c r="V45">
        <v>27.914549999999998</v>
      </c>
      <c r="W45">
        <v>31.487099999999998</v>
      </c>
      <c r="X45">
        <v>3.5725499999999997</v>
      </c>
      <c r="Y45">
        <v>3572.5499999999997</v>
      </c>
      <c r="Z45">
        <v>31.2987</v>
      </c>
      <c r="AA45">
        <v>3.38415</v>
      </c>
      <c r="AB45">
        <v>3384.1499999999996</v>
      </c>
      <c r="AC45">
        <v>188.39999999999986</v>
      </c>
      <c r="AD45">
        <v>1.5751266302286586</v>
      </c>
      <c r="AE45">
        <f t="shared" si="1"/>
        <v>0.69305571730060977</v>
      </c>
      <c r="AF45">
        <v>5.2785924001983595</v>
      </c>
      <c r="AG45">
        <f t="shared" si="34"/>
        <v>4.3002932640714091</v>
      </c>
      <c r="AH45">
        <f t="shared" si="35"/>
        <v>2.9803428327339912E-2</v>
      </c>
      <c r="AI45" s="2">
        <f t="shared" si="32"/>
        <v>0.74508570818349784</v>
      </c>
      <c r="AJ45">
        <v>15</v>
      </c>
      <c r="AK45">
        <f t="shared" ref="AK45" si="37">AH45-AH46</f>
        <v>-3.8824768464858522E-2</v>
      </c>
      <c r="AL45">
        <f t="shared" si="36"/>
        <v>-2.5883178976572347E-3</v>
      </c>
    </row>
    <row r="46" spans="1:38" x14ac:dyDescent="0.2">
      <c r="A46" t="s">
        <v>43</v>
      </c>
      <c r="B46">
        <v>2014</v>
      </c>
      <c r="C46">
        <f t="shared" si="33"/>
        <v>11</v>
      </c>
      <c r="D46">
        <v>2</v>
      </c>
      <c r="E46">
        <v>3</v>
      </c>
      <c r="F46" t="s">
        <v>40</v>
      </c>
      <c r="G46">
        <v>10</v>
      </c>
      <c r="H46">
        <v>10</v>
      </c>
      <c r="I46">
        <v>1</v>
      </c>
      <c r="K46">
        <v>4</v>
      </c>
      <c r="L46">
        <v>0</v>
      </c>
      <c r="M46">
        <v>41.5</v>
      </c>
      <c r="N46">
        <v>5.09</v>
      </c>
      <c r="O46">
        <v>38.408999999999999</v>
      </c>
      <c r="P46">
        <v>33.319000000000003</v>
      </c>
      <c r="Q46">
        <v>29.038</v>
      </c>
      <c r="R46">
        <v>23.948</v>
      </c>
      <c r="S46">
        <v>9.3709999999999987</v>
      </c>
      <c r="T46">
        <v>28.125896308745613</v>
      </c>
      <c r="U46">
        <v>6.5</v>
      </c>
      <c r="V46">
        <v>24.757249999999999</v>
      </c>
      <c r="W46">
        <v>28.444200000000002</v>
      </c>
      <c r="X46">
        <v>3.6869500000000013</v>
      </c>
      <c r="Y46">
        <v>3686.9500000000012</v>
      </c>
      <c r="Z46">
        <v>28.243499999999997</v>
      </c>
      <c r="AA46">
        <v>3.4862500000000001</v>
      </c>
      <c r="AB46">
        <v>3486.25</v>
      </c>
      <c r="AC46">
        <v>200.70000000000118</v>
      </c>
      <c r="AD46">
        <v>1.5738633378678664</v>
      </c>
      <c r="AE46">
        <f t="shared" si="1"/>
        <v>1.5738633378678664</v>
      </c>
      <c r="AF46">
        <v>5.4458132031918716</v>
      </c>
      <c r="AG46">
        <f t="shared" si="34"/>
        <v>4.3604927531490736</v>
      </c>
      <c r="AH46">
        <f t="shared" si="35"/>
        <v>6.8628196792198434E-2</v>
      </c>
      <c r="AI46" s="2">
        <f t="shared" si="32"/>
        <v>0.68628196792198437</v>
      </c>
      <c r="AJ46">
        <v>10</v>
      </c>
      <c r="AK46">
        <f t="shared" ref="AK46" si="38">AH46</f>
        <v>6.8628196792198434E-2</v>
      </c>
      <c r="AL46">
        <f t="shared" si="36"/>
        <v>6.8628196792198436E-3</v>
      </c>
    </row>
    <row r="47" spans="1:38" x14ac:dyDescent="0.2">
      <c r="A47" t="s">
        <v>44</v>
      </c>
      <c r="B47">
        <v>2005</v>
      </c>
      <c r="C47">
        <f t="shared" si="33"/>
        <v>20</v>
      </c>
      <c r="D47">
        <v>1</v>
      </c>
      <c r="E47">
        <v>1</v>
      </c>
      <c r="F47" t="s">
        <v>38</v>
      </c>
      <c r="G47">
        <v>50</v>
      </c>
      <c r="H47">
        <v>17.5</v>
      </c>
      <c r="I47">
        <f>H47/G47</f>
        <v>0.35</v>
      </c>
      <c r="K47">
        <v>4</v>
      </c>
      <c r="M47">
        <v>5</v>
      </c>
      <c r="N47">
        <v>1.825</v>
      </c>
      <c r="O47">
        <v>37.319000000000003</v>
      </c>
      <c r="P47">
        <f t="shared" ref="P47:P109" si="39">O47-N47</f>
        <v>35.494</v>
      </c>
      <c r="Q47">
        <v>29.777999999999999</v>
      </c>
      <c r="R47">
        <f t="shared" ref="R47:R109" si="40">Q47-N47</f>
        <v>27.952999999999999</v>
      </c>
      <c r="S47">
        <f>P47-R47</f>
        <v>7.5410000000000004</v>
      </c>
      <c r="T47">
        <f>((P47-R47)/P47)*100</f>
        <v>21.245844368062208</v>
      </c>
      <c r="U47">
        <v>16</v>
      </c>
      <c r="V47">
        <v>28.4542</v>
      </c>
      <c r="W47">
        <v>32.271000000000001</v>
      </c>
      <c r="X47">
        <f>W47-V47</f>
        <v>3.8168000000000006</v>
      </c>
      <c r="Y47">
        <f>X47*1000</f>
        <v>3816.8000000000006</v>
      </c>
      <c r="Z47">
        <v>32.136299999999999</v>
      </c>
      <c r="AA47">
        <f>Z47-V47</f>
        <v>3.6820999999999984</v>
      </c>
      <c r="AB47">
        <f t="shared" ref="AB47:AB108" si="41">AA47*1000</f>
        <v>3682.0999999999985</v>
      </c>
      <c r="AC47">
        <f>Y47-AB47</f>
        <v>134.70000000000209</v>
      </c>
      <c r="AD47">
        <v>1.0202627626905951</v>
      </c>
      <c r="AE47">
        <f t="shared" si="1"/>
        <v>0.35709196694170825</v>
      </c>
      <c r="AF47">
        <f t="shared" ref="AF47:AF78" si="42">((Y47-AB47)/Y47)*100</f>
        <v>3.5291343533850892</v>
      </c>
      <c r="AG47">
        <f>0.36*AF47+2.4</f>
        <v>3.6704883672186321</v>
      </c>
      <c r="AH47">
        <f>AE47*(AG47/100)</f>
        <v>1.3107019106867604E-2</v>
      </c>
      <c r="AI47" s="2">
        <f t="shared" si="32"/>
        <v>0.65535095534338017</v>
      </c>
      <c r="AJ47">
        <v>25</v>
      </c>
      <c r="AK47">
        <f>AH47-(AK48+AK49)</f>
        <v>2.7052371094534369E-3</v>
      </c>
      <c r="AL47">
        <f>AK47/AJ47</f>
        <v>1.0820948437813747E-4</v>
      </c>
    </row>
    <row r="48" spans="1:38" x14ac:dyDescent="0.2">
      <c r="A48" t="s">
        <v>44</v>
      </c>
      <c r="B48">
        <v>2005</v>
      </c>
      <c r="C48">
        <f t="shared" si="33"/>
        <v>20</v>
      </c>
      <c r="D48">
        <v>1</v>
      </c>
      <c r="E48">
        <v>1</v>
      </c>
      <c r="F48" t="s">
        <v>39</v>
      </c>
      <c r="G48">
        <v>25</v>
      </c>
      <c r="H48">
        <v>9</v>
      </c>
      <c r="I48">
        <f t="shared" ref="I48:I100" si="43">H48/G48</f>
        <v>0.36</v>
      </c>
      <c r="K48">
        <v>4</v>
      </c>
      <c r="M48">
        <v>6</v>
      </c>
      <c r="N48">
        <v>1.796</v>
      </c>
      <c r="O48">
        <v>38.600999999999999</v>
      </c>
      <c r="P48">
        <f t="shared" si="39"/>
        <v>36.805</v>
      </c>
      <c r="Q48">
        <v>30.643000000000001</v>
      </c>
      <c r="R48">
        <f t="shared" si="40"/>
        <v>28.847000000000001</v>
      </c>
      <c r="S48">
        <f t="shared" ref="S48:S82" si="44">P48-R48</f>
        <v>7.9579999999999984</v>
      </c>
      <c r="T48">
        <f t="shared" ref="T48:T82" si="45">((P48-R48)/P48)*100</f>
        <v>21.622062219807088</v>
      </c>
      <c r="U48">
        <v>13</v>
      </c>
      <c r="V48">
        <v>22.195699999999999</v>
      </c>
      <c r="W48">
        <v>25.920300000000001</v>
      </c>
      <c r="X48">
        <f t="shared" ref="X48:X82" si="46">W48-V48</f>
        <v>3.7246000000000024</v>
      </c>
      <c r="Y48">
        <f t="shared" ref="Y48:Y82" si="47">X48*1000</f>
        <v>3724.6000000000022</v>
      </c>
      <c r="Z48">
        <v>25.772500000000001</v>
      </c>
      <c r="AA48">
        <f t="shared" ref="AA48:AA82" si="48">Z48-V48</f>
        <v>3.5768000000000022</v>
      </c>
      <c r="AB48">
        <f t="shared" si="41"/>
        <v>3576.800000000002</v>
      </c>
      <c r="AC48">
        <f t="shared" ref="AC48:AC82" si="49">Y48-AB48</f>
        <v>147.80000000000018</v>
      </c>
      <c r="AD48">
        <v>0.75469284577388129</v>
      </c>
      <c r="AE48">
        <f t="shared" si="1"/>
        <v>0.27168942447859723</v>
      </c>
      <c r="AF48">
        <f t="shared" si="42"/>
        <v>3.9682113515545319</v>
      </c>
      <c r="AG48">
        <f t="shared" ref="AG48:AG82" si="50">0.36*AF48+2.4</f>
        <v>3.8285560865596313</v>
      </c>
      <c r="AH48">
        <f t="shared" ref="AH48:AH82" si="51">AE48*(AG48/100)</f>
        <v>1.0401781997414167E-2</v>
      </c>
      <c r="AI48" s="2">
        <f t="shared" si="32"/>
        <v>0.2600445499353542</v>
      </c>
      <c r="AJ48">
        <v>15</v>
      </c>
      <c r="AK48">
        <f>AH48-AH49</f>
        <v>-4.2441177081601836E-3</v>
      </c>
      <c r="AL48">
        <f t="shared" ref="AL48:AL82" si="52">AK48/AJ48</f>
        <v>-2.8294118054401224E-4</v>
      </c>
    </row>
    <row r="49" spans="1:39" x14ac:dyDescent="0.2">
      <c r="A49" t="s">
        <v>44</v>
      </c>
      <c r="B49">
        <v>2005</v>
      </c>
      <c r="C49">
        <f t="shared" si="33"/>
        <v>20</v>
      </c>
      <c r="D49">
        <v>1</v>
      </c>
      <c r="E49">
        <v>1</v>
      </c>
      <c r="F49" t="s">
        <v>40</v>
      </c>
      <c r="G49">
        <v>10</v>
      </c>
      <c r="H49">
        <v>4</v>
      </c>
      <c r="I49">
        <f t="shared" si="43"/>
        <v>0.4</v>
      </c>
      <c r="K49">
        <v>4</v>
      </c>
      <c r="M49">
        <v>7</v>
      </c>
      <c r="N49">
        <v>1.8149999999999999</v>
      </c>
      <c r="O49">
        <v>33.651000000000003</v>
      </c>
      <c r="P49">
        <f t="shared" si="39"/>
        <v>31.836000000000002</v>
      </c>
      <c r="Q49">
        <v>26.782</v>
      </c>
      <c r="R49">
        <f t="shared" si="40"/>
        <v>24.966999999999999</v>
      </c>
      <c r="S49">
        <f t="shared" si="44"/>
        <v>6.8690000000000033</v>
      </c>
      <c r="T49">
        <f t="shared" si="45"/>
        <v>21.576203040582996</v>
      </c>
      <c r="U49">
        <v>7</v>
      </c>
      <c r="V49">
        <v>27.256399999999999</v>
      </c>
      <c r="W49">
        <v>31.168399999999998</v>
      </c>
      <c r="X49">
        <f t="shared" si="46"/>
        <v>3.911999999999999</v>
      </c>
      <c r="Y49">
        <f t="shared" si="47"/>
        <v>3911.9999999999991</v>
      </c>
      <c r="Z49">
        <v>31.0078</v>
      </c>
      <c r="AA49">
        <f t="shared" si="48"/>
        <v>3.7514000000000003</v>
      </c>
      <c r="AB49">
        <f t="shared" si="41"/>
        <v>3751.4</v>
      </c>
      <c r="AC49">
        <f t="shared" si="49"/>
        <v>160.599999999999</v>
      </c>
      <c r="AD49">
        <v>0.94418669989266912</v>
      </c>
      <c r="AE49">
        <f t="shared" si="1"/>
        <v>0.37767467995706766</v>
      </c>
      <c r="AF49">
        <f t="shared" si="42"/>
        <v>4.1053169734151078</v>
      </c>
      <c r="AG49">
        <f t="shared" si="50"/>
        <v>3.8779141104294386</v>
      </c>
      <c r="AH49">
        <f t="shared" si="51"/>
        <v>1.4645899705574351E-2</v>
      </c>
      <c r="AI49" s="2">
        <f t="shared" si="32"/>
        <v>0.1464589970557435</v>
      </c>
      <c r="AJ49">
        <v>10</v>
      </c>
      <c r="AK49">
        <f>AH49</f>
        <v>1.4645899705574351E-2</v>
      </c>
      <c r="AL49">
        <f t="shared" si="52"/>
        <v>1.4645899705574351E-3</v>
      </c>
    </row>
    <row r="50" spans="1:39" x14ac:dyDescent="0.2">
      <c r="A50" t="s">
        <v>44</v>
      </c>
      <c r="B50">
        <v>2005</v>
      </c>
      <c r="C50">
        <f t="shared" si="33"/>
        <v>20</v>
      </c>
      <c r="D50">
        <v>1</v>
      </c>
      <c r="E50">
        <v>2</v>
      </c>
      <c r="F50" s="3" t="s">
        <v>41</v>
      </c>
      <c r="G50">
        <v>50</v>
      </c>
      <c r="H50">
        <v>14.6</v>
      </c>
      <c r="I50">
        <f t="shared" si="43"/>
        <v>0.29199999999999998</v>
      </c>
      <c r="K50">
        <v>4</v>
      </c>
      <c r="M50">
        <v>8</v>
      </c>
      <c r="N50">
        <v>1.798</v>
      </c>
      <c r="O50">
        <v>33.741999999999997</v>
      </c>
      <c r="P50">
        <f t="shared" si="39"/>
        <v>31.943999999999996</v>
      </c>
      <c r="Q50">
        <v>26.77</v>
      </c>
      <c r="R50">
        <f t="shared" si="40"/>
        <v>24.972000000000001</v>
      </c>
      <c r="S50">
        <f t="shared" si="44"/>
        <v>6.9719999999999942</v>
      </c>
      <c r="T50">
        <f t="shared" si="45"/>
        <v>21.82569496619082</v>
      </c>
      <c r="U50">
        <v>20</v>
      </c>
      <c r="V50">
        <v>28.529299999999999</v>
      </c>
      <c r="W50">
        <v>31.868099999999998</v>
      </c>
      <c r="X50">
        <f t="shared" si="46"/>
        <v>3.3387999999999991</v>
      </c>
      <c r="Y50">
        <f t="shared" si="47"/>
        <v>3338.7999999999993</v>
      </c>
      <c r="Z50">
        <v>31.743400000000001</v>
      </c>
      <c r="AA50">
        <f t="shared" si="48"/>
        <v>3.214100000000002</v>
      </c>
      <c r="AB50">
        <f t="shared" si="41"/>
        <v>3214.1000000000022</v>
      </c>
      <c r="AC50">
        <f t="shared" si="49"/>
        <v>124.69999999999709</v>
      </c>
      <c r="AD50">
        <v>1.0202627626905951</v>
      </c>
      <c r="AE50">
        <f t="shared" si="1"/>
        <v>0.29791672670565378</v>
      </c>
      <c r="AF50">
        <f t="shared" si="42"/>
        <v>3.7348748053191905</v>
      </c>
      <c r="AG50">
        <f t="shared" si="50"/>
        <v>3.7445549299149086</v>
      </c>
      <c r="AH50">
        <f t="shared" si="51"/>
        <v>1.1155655476897685E-2</v>
      </c>
      <c r="AI50" s="2">
        <f t="shared" si="32"/>
        <v>0.55778277384488428</v>
      </c>
      <c r="AJ50">
        <v>25</v>
      </c>
      <c r="AK50">
        <f>AH50-(AK51+AK52)</f>
        <v>-1.6838729514147138E-3</v>
      </c>
      <c r="AL50">
        <f t="shared" si="52"/>
        <v>-6.7354918056588547E-5</v>
      </c>
    </row>
    <row r="51" spans="1:39" x14ac:dyDescent="0.2">
      <c r="A51" t="s">
        <v>44</v>
      </c>
      <c r="B51">
        <v>2005</v>
      </c>
      <c r="C51">
        <f t="shared" si="33"/>
        <v>20</v>
      </c>
      <c r="D51">
        <v>1</v>
      </c>
      <c r="E51">
        <v>2</v>
      </c>
      <c r="F51" t="s">
        <v>39</v>
      </c>
      <c r="G51">
        <v>25</v>
      </c>
      <c r="H51">
        <v>11</v>
      </c>
      <c r="I51">
        <f t="shared" si="43"/>
        <v>0.44</v>
      </c>
      <c r="K51">
        <v>4</v>
      </c>
      <c r="M51">
        <v>9</v>
      </c>
      <c r="N51">
        <v>1.7969999999999999</v>
      </c>
      <c r="O51">
        <v>32.979999999999997</v>
      </c>
      <c r="P51">
        <f t="shared" si="39"/>
        <v>31.182999999999996</v>
      </c>
      <c r="Q51">
        <v>26.405999999999999</v>
      </c>
      <c r="R51">
        <f t="shared" si="40"/>
        <v>24.608999999999998</v>
      </c>
      <c r="S51">
        <f t="shared" si="44"/>
        <v>6.5739999999999981</v>
      </c>
      <c r="T51">
        <f t="shared" si="45"/>
        <v>21.081999807587465</v>
      </c>
      <c r="U51">
        <v>17</v>
      </c>
      <c r="V51">
        <v>28.977</v>
      </c>
      <c r="W51">
        <v>31.952100000000002</v>
      </c>
      <c r="X51">
        <f t="shared" si="46"/>
        <v>2.9751000000000012</v>
      </c>
      <c r="Y51">
        <f t="shared" si="47"/>
        <v>2975.1000000000013</v>
      </c>
      <c r="Z51">
        <v>31.8309</v>
      </c>
      <c r="AA51">
        <f t="shared" si="48"/>
        <v>2.8538999999999994</v>
      </c>
      <c r="AB51">
        <f t="shared" si="41"/>
        <v>2853.8999999999996</v>
      </c>
      <c r="AC51">
        <f t="shared" si="49"/>
        <v>121.20000000000164</v>
      </c>
      <c r="AD51">
        <v>0.75469284577388129</v>
      </c>
      <c r="AE51">
        <f t="shared" si="1"/>
        <v>0.33206485214050779</v>
      </c>
      <c r="AF51">
        <f t="shared" si="42"/>
        <v>4.073812644953164</v>
      </c>
      <c r="AG51">
        <f t="shared" si="50"/>
        <v>3.8665725521831389</v>
      </c>
      <c r="AH51">
        <f t="shared" si="51"/>
        <v>1.2839528428312399E-2</v>
      </c>
      <c r="AI51" s="2">
        <f t="shared" si="32"/>
        <v>0.32098821070780997</v>
      </c>
      <c r="AJ51">
        <v>15</v>
      </c>
      <c r="AK51">
        <f>AH51-AH52</f>
        <v>-2.4119418715482382E-2</v>
      </c>
      <c r="AL51">
        <f t="shared" si="52"/>
        <v>-1.6079612476988254E-3</v>
      </c>
    </row>
    <row r="52" spans="1:39" x14ac:dyDescent="0.2">
      <c r="A52" t="s">
        <v>44</v>
      </c>
      <c r="B52">
        <v>2005</v>
      </c>
      <c r="C52">
        <f t="shared" si="33"/>
        <v>20</v>
      </c>
      <c r="D52">
        <v>1</v>
      </c>
      <c r="E52">
        <v>2</v>
      </c>
      <c r="F52" t="s">
        <v>40</v>
      </c>
      <c r="G52">
        <v>10</v>
      </c>
      <c r="H52">
        <v>10</v>
      </c>
      <c r="I52">
        <f t="shared" si="43"/>
        <v>1</v>
      </c>
      <c r="K52">
        <v>4</v>
      </c>
      <c r="M52">
        <v>10</v>
      </c>
      <c r="N52">
        <v>1.79</v>
      </c>
      <c r="O52">
        <v>32.427</v>
      </c>
      <c r="P52">
        <f t="shared" si="39"/>
        <v>30.637</v>
      </c>
      <c r="Q52">
        <v>25.106000000000002</v>
      </c>
      <c r="R52">
        <f t="shared" si="40"/>
        <v>23.316000000000003</v>
      </c>
      <c r="S52">
        <f t="shared" si="44"/>
        <v>7.320999999999998</v>
      </c>
      <c r="T52">
        <f t="shared" si="45"/>
        <v>23.895942814244208</v>
      </c>
      <c r="U52">
        <v>2</v>
      </c>
      <c r="V52">
        <v>26.6465</v>
      </c>
      <c r="W52">
        <v>29.8201</v>
      </c>
      <c r="X52">
        <f t="shared" si="46"/>
        <v>3.1736000000000004</v>
      </c>
      <c r="Y52">
        <f t="shared" si="47"/>
        <v>3173.6000000000004</v>
      </c>
      <c r="Z52">
        <v>29.686599999999999</v>
      </c>
      <c r="AA52">
        <f t="shared" si="48"/>
        <v>3.0400999999999989</v>
      </c>
      <c r="AB52">
        <f t="shared" si="41"/>
        <v>3040.099999999999</v>
      </c>
      <c r="AC52">
        <f t="shared" si="49"/>
        <v>133.50000000000136</v>
      </c>
      <c r="AD52">
        <v>0.94418669989266912</v>
      </c>
      <c r="AE52">
        <f t="shared" si="1"/>
        <v>0.94418669989266912</v>
      </c>
      <c r="AF52">
        <f t="shared" si="42"/>
        <v>4.2065792790522227</v>
      </c>
      <c r="AG52">
        <f t="shared" si="50"/>
        <v>3.9143685404588</v>
      </c>
      <c r="AH52">
        <f t="shared" si="51"/>
        <v>3.6958947143794781E-2</v>
      </c>
      <c r="AI52" s="2">
        <f t="shared" si="32"/>
        <v>0.36958947143794779</v>
      </c>
      <c r="AJ52">
        <v>10</v>
      </c>
      <c r="AK52">
        <f>AH52</f>
        <v>3.6958947143794781E-2</v>
      </c>
      <c r="AL52">
        <f t="shared" si="52"/>
        <v>3.6958947143794782E-3</v>
      </c>
    </row>
    <row r="53" spans="1:39" x14ac:dyDescent="0.2">
      <c r="A53" t="s">
        <v>44</v>
      </c>
      <c r="B53">
        <v>2005</v>
      </c>
      <c r="C53">
        <f t="shared" si="33"/>
        <v>20</v>
      </c>
      <c r="D53">
        <v>1</v>
      </c>
      <c r="E53">
        <v>3</v>
      </c>
      <c r="F53" s="3" t="s">
        <v>41</v>
      </c>
      <c r="G53">
        <v>50</v>
      </c>
      <c r="H53">
        <v>17.2</v>
      </c>
      <c r="I53">
        <f t="shared" si="43"/>
        <v>0.34399999999999997</v>
      </c>
      <c r="K53">
        <v>4</v>
      </c>
      <c r="M53">
        <v>11</v>
      </c>
      <c r="N53">
        <v>1.823</v>
      </c>
      <c r="O53">
        <v>37.752000000000002</v>
      </c>
      <c r="P53">
        <f t="shared" si="39"/>
        <v>35.929000000000002</v>
      </c>
      <c r="Q53">
        <v>29.843</v>
      </c>
      <c r="R53">
        <f t="shared" si="40"/>
        <v>28.02</v>
      </c>
      <c r="S53">
        <f t="shared" si="44"/>
        <v>7.9090000000000025</v>
      </c>
      <c r="T53">
        <f t="shared" si="45"/>
        <v>22.012858693534476</v>
      </c>
      <c r="U53">
        <v>3</v>
      </c>
      <c r="V53">
        <v>28.9665</v>
      </c>
      <c r="W53">
        <v>31.523</v>
      </c>
      <c r="X53">
        <f t="shared" si="46"/>
        <v>2.5564999999999998</v>
      </c>
      <c r="Y53">
        <f t="shared" si="47"/>
        <v>2556.5</v>
      </c>
      <c r="Z53">
        <v>31.42</v>
      </c>
      <c r="AA53">
        <f t="shared" si="48"/>
        <v>2.4535000000000018</v>
      </c>
      <c r="AB53">
        <f t="shared" si="41"/>
        <v>2453.5000000000018</v>
      </c>
      <c r="AC53">
        <f t="shared" si="49"/>
        <v>102.99999999999818</v>
      </c>
      <c r="AD53">
        <v>1.0202627626905951</v>
      </c>
      <c r="AE53">
        <f t="shared" si="1"/>
        <v>0.35097039036556471</v>
      </c>
      <c r="AF53">
        <f t="shared" si="42"/>
        <v>4.0289458243691838</v>
      </c>
      <c r="AG53">
        <f t="shared" si="50"/>
        <v>3.8504204967729061</v>
      </c>
      <c r="AH53">
        <f t="shared" si="51"/>
        <v>1.3513835848239586E-2</v>
      </c>
      <c r="AI53" s="2">
        <f t="shared" si="32"/>
        <v>0.6756917924119793</v>
      </c>
      <c r="AJ53">
        <v>25</v>
      </c>
      <c r="AK53">
        <f>AH53-(AK54+AK55)</f>
        <v>-1.2437830950936309E-3</v>
      </c>
      <c r="AL53">
        <f t="shared" si="52"/>
        <v>-4.9751323803745236E-5</v>
      </c>
    </row>
    <row r="54" spans="1:39" x14ac:dyDescent="0.2">
      <c r="A54" t="s">
        <v>44</v>
      </c>
      <c r="B54">
        <v>2005</v>
      </c>
      <c r="C54">
        <f t="shared" si="33"/>
        <v>20</v>
      </c>
      <c r="D54">
        <v>1</v>
      </c>
      <c r="E54">
        <v>3</v>
      </c>
      <c r="F54" t="s">
        <v>39</v>
      </c>
      <c r="G54">
        <v>25</v>
      </c>
      <c r="H54">
        <v>12.5</v>
      </c>
      <c r="I54">
        <f t="shared" si="43"/>
        <v>0.5</v>
      </c>
      <c r="K54">
        <v>4</v>
      </c>
      <c r="M54">
        <v>12</v>
      </c>
      <c r="N54">
        <v>1.8460000000000001</v>
      </c>
      <c r="O54">
        <v>35.722999999999999</v>
      </c>
      <c r="P54">
        <f t="shared" si="39"/>
        <v>33.876999999999995</v>
      </c>
      <c r="Q54">
        <v>27.696000000000002</v>
      </c>
      <c r="R54">
        <f t="shared" si="40"/>
        <v>25.85</v>
      </c>
      <c r="S54">
        <f t="shared" si="44"/>
        <v>8.0269999999999939</v>
      </c>
      <c r="T54">
        <f t="shared" si="45"/>
        <v>23.694542019659341</v>
      </c>
      <c r="U54">
        <v>11</v>
      </c>
      <c r="V54">
        <v>27.443899999999999</v>
      </c>
      <c r="W54">
        <v>30.679600000000001</v>
      </c>
      <c r="X54">
        <f t="shared" si="46"/>
        <v>3.2357000000000014</v>
      </c>
      <c r="Y54">
        <f t="shared" si="47"/>
        <v>3235.7000000000012</v>
      </c>
      <c r="Z54">
        <v>30.543800000000001</v>
      </c>
      <c r="AA54">
        <f t="shared" si="48"/>
        <v>3.0999000000000017</v>
      </c>
      <c r="AB54">
        <f t="shared" si="41"/>
        <v>3099.9000000000015</v>
      </c>
      <c r="AC54">
        <f t="shared" si="49"/>
        <v>135.79999999999973</v>
      </c>
      <c r="AD54">
        <v>0.75469284577388129</v>
      </c>
      <c r="AE54">
        <f t="shared" si="1"/>
        <v>0.37734642288694065</v>
      </c>
      <c r="AF54">
        <f t="shared" si="42"/>
        <v>4.1969280217572607</v>
      </c>
      <c r="AG54">
        <f t="shared" si="50"/>
        <v>3.9108940878326139</v>
      </c>
      <c r="AH54">
        <f t="shared" si="51"/>
        <v>1.4757618943333217E-2</v>
      </c>
      <c r="AI54" s="2">
        <f t="shared" si="32"/>
        <v>0.36894047358333043</v>
      </c>
      <c r="AJ54">
        <v>15</v>
      </c>
      <c r="AK54">
        <f>AH54-AH55</f>
        <v>-1.9166836989128778E-2</v>
      </c>
      <c r="AL54">
        <f t="shared" si="52"/>
        <v>-1.2777891326085852E-3</v>
      </c>
      <c r="AM54" t="s">
        <v>45</v>
      </c>
    </row>
    <row r="55" spans="1:39" x14ac:dyDescent="0.2">
      <c r="A55" t="s">
        <v>44</v>
      </c>
      <c r="B55">
        <v>2005</v>
      </c>
      <c r="C55">
        <f t="shared" si="33"/>
        <v>20</v>
      </c>
      <c r="D55">
        <v>1</v>
      </c>
      <c r="E55">
        <v>3</v>
      </c>
      <c r="F55" t="s">
        <v>40</v>
      </c>
      <c r="G55">
        <v>10</v>
      </c>
      <c r="H55">
        <v>9.5</v>
      </c>
      <c r="I55">
        <f t="shared" si="43"/>
        <v>0.95</v>
      </c>
      <c r="K55">
        <v>4</v>
      </c>
      <c r="M55">
        <v>13</v>
      </c>
      <c r="N55">
        <v>1.837</v>
      </c>
      <c r="O55">
        <v>32.470999999999997</v>
      </c>
      <c r="P55">
        <f t="shared" si="39"/>
        <v>30.633999999999997</v>
      </c>
      <c r="Q55">
        <v>25.896000000000001</v>
      </c>
      <c r="R55">
        <f t="shared" si="40"/>
        <v>24.059000000000001</v>
      </c>
      <c r="S55">
        <f t="shared" si="44"/>
        <v>6.5749999999999957</v>
      </c>
      <c r="T55">
        <f t="shared" si="45"/>
        <v>21.463080237644437</v>
      </c>
      <c r="U55">
        <v>10</v>
      </c>
      <c r="V55">
        <v>28.571300000000001</v>
      </c>
      <c r="W55">
        <v>31.910599999999999</v>
      </c>
      <c r="X55">
        <f t="shared" si="46"/>
        <v>3.3392999999999979</v>
      </c>
      <c r="Y55">
        <f t="shared" si="47"/>
        <v>3339.2999999999979</v>
      </c>
      <c r="Z55">
        <v>31.782399999999999</v>
      </c>
      <c r="AA55">
        <f t="shared" si="48"/>
        <v>3.2110999999999983</v>
      </c>
      <c r="AB55">
        <f t="shared" si="41"/>
        <v>3211.0999999999981</v>
      </c>
      <c r="AC55">
        <f t="shared" si="49"/>
        <v>128.19999999999982</v>
      </c>
      <c r="AD55">
        <v>0.94418669989266912</v>
      </c>
      <c r="AE55">
        <f t="shared" si="1"/>
        <v>0.89697736489803559</v>
      </c>
      <c r="AF55">
        <f t="shared" si="42"/>
        <v>3.8391279609498965</v>
      </c>
      <c r="AG55">
        <f t="shared" si="50"/>
        <v>3.7820860659419626</v>
      </c>
      <c r="AH55">
        <f t="shared" si="51"/>
        <v>3.3924455932461996E-2</v>
      </c>
      <c r="AI55" s="2">
        <f t="shared" si="32"/>
        <v>0.33924455932461994</v>
      </c>
      <c r="AJ55">
        <v>10</v>
      </c>
      <c r="AK55">
        <f>AH55</f>
        <v>3.3924455932461996E-2</v>
      </c>
      <c r="AL55">
        <f t="shared" si="52"/>
        <v>3.3924455932461996E-3</v>
      </c>
    </row>
    <row r="56" spans="1:39" x14ac:dyDescent="0.2">
      <c r="A56" t="s">
        <v>44</v>
      </c>
      <c r="B56">
        <v>2005</v>
      </c>
      <c r="C56">
        <f t="shared" si="33"/>
        <v>20</v>
      </c>
      <c r="D56">
        <v>2</v>
      </c>
      <c r="E56">
        <v>1</v>
      </c>
      <c r="F56" s="3" t="s">
        <v>41</v>
      </c>
      <c r="G56">
        <v>50</v>
      </c>
      <c r="H56">
        <v>15.5</v>
      </c>
      <c r="I56">
        <f t="shared" si="43"/>
        <v>0.31</v>
      </c>
      <c r="K56">
        <v>4</v>
      </c>
      <c r="M56">
        <v>14</v>
      </c>
      <c r="N56">
        <v>1.8340000000000001</v>
      </c>
      <c r="O56">
        <v>33.982999999999997</v>
      </c>
      <c r="P56">
        <f t="shared" si="39"/>
        <v>32.148999999999994</v>
      </c>
      <c r="Q56">
        <v>27.478999999999999</v>
      </c>
      <c r="R56">
        <f t="shared" si="40"/>
        <v>25.645</v>
      </c>
      <c r="S56">
        <f t="shared" si="44"/>
        <v>6.5039999999999942</v>
      </c>
      <c r="T56">
        <f t="shared" si="45"/>
        <v>20.230800335935783</v>
      </c>
      <c r="U56">
        <v>18</v>
      </c>
      <c r="V56">
        <v>27.354700000000001</v>
      </c>
      <c r="W56">
        <v>30.313199999999998</v>
      </c>
      <c r="X56">
        <f t="shared" si="46"/>
        <v>2.9584999999999972</v>
      </c>
      <c r="Y56">
        <f t="shared" si="47"/>
        <v>2958.4999999999973</v>
      </c>
      <c r="Z56">
        <v>30.1936</v>
      </c>
      <c r="AA56">
        <f t="shared" si="48"/>
        <v>2.8388999999999989</v>
      </c>
      <c r="AB56">
        <f t="shared" si="41"/>
        <v>2838.8999999999987</v>
      </c>
      <c r="AC56">
        <f t="shared" si="49"/>
        <v>119.59999999999854</v>
      </c>
      <c r="AD56">
        <v>1.0202627626905951</v>
      </c>
      <c r="AE56">
        <f t="shared" si="1"/>
        <v>0.31628145643408451</v>
      </c>
      <c r="AF56">
        <f t="shared" si="42"/>
        <v>4.0425891499070019</v>
      </c>
      <c r="AG56">
        <f t="shared" si="50"/>
        <v>3.8553320939665205</v>
      </c>
      <c r="AH56">
        <f t="shared" si="51"/>
        <v>1.2193700497168E-2</v>
      </c>
      <c r="AI56" s="2">
        <f t="shared" si="32"/>
        <v>0.60968502485839993</v>
      </c>
      <c r="AJ56">
        <v>25</v>
      </c>
      <c r="AK56">
        <f>AH56-(AK57+AK58)</f>
        <v>-6.7620166392773143E-3</v>
      </c>
      <c r="AL56">
        <f t="shared" si="52"/>
        <v>-2.7048066557109257E-4</v>
      </c>
    </row>
    <row r="57" spans="1:39" x14ac:dyDescent="0.2">
      <c r="A57" t="s">
        <v>44</v>
      </c>
      <c r="B57">
        <v>2005</v>
      </c>
      <c r="C57">
        <f t="shared" si="33"/>
        <v>20</v>
      </c>
      <c r="D57">
        <v>2</v>
      </c>
      <c r="E57">
        <v>1</v>
      </c>
      <c r="F57" t="s">
        <v>39</v>
      </c>
      <c r="G57">
        <v>25</v>
      </c>
      <c r="H57">
        <v>15.5</v>
      </c>
      <c r="I57">
        <f t="shared" si="43"/>
        <v>0.62</v>
      </c>
      <c r="K57">
        <v>4</v>
      </c>
      <c r="M57">
        <v>15</v>
      </c>
      <c r="N57">
        <v>1.8480000000000001</v>
      </c>
      <c r="O57">
        <v>35.012</v>
      </c>
      <c r="P57">
        <f t="shared" si="39"/>
        <v>33.164000000000001</v>
      </c>
      <c r="Q57">
        <v>27.056000000000001</v>
      </c>
      <c r="R57">
        <f t="shared" si="40"/>
        <v>25.208000000000002</v>
      </c>
      <c r="S57">
        <f t="shared" si="44"/>
        <v>7.9559999999999995</v>
      </c>
      <c r="T57">
        <f t="shared" si="45"/>
        <v>23.989868532143284</v>
      </c>
      <c r="U57">
        <v>6</v>
      </c>
      <c r="V57">
        <v>30.165400000000002</v>
      </c>
      <c r="W57">
        <v>33.3748</v>
      </c>
      <c r="X57">
        <f t="shared" si="46"/>
        <v>3.2093999999999987</v>
      </c>
      <c r="Y57">
        <f t="shared" si="47"/>
        <v>3209.3999999999987</v>
      </c>
      <c r="Z57">
        <v>33.227600000000002</v>
      </c>
      <c r="AA57">
        <f t="shared" si="48"/>
        <v>3.0622000000000007</v>
      </c>
      <c r="AB57">
        <f t="shared" si="41"/>
        <v>3062.2000000000007</v>
      </c>
      <c r="AC57">
        <f t="shared" si="49"/>
        <v>147.199999999998</v>
      </c>
      <c r="AD57">
        <v>0.75469284577388129</v>
      </c>
      <c r="AE57">
        <f t="shared" si="1"/>
        <v>0.46790956437980641</v>
      </c>
      <c r="AF57">
        <f t="shared" si="42"/>
        <v>4.5865270767120974</v>
      </c>
      <c r="AG57">
        <f t="shared" si="50"/>
        <v>4.0511497476163552</v>
      </c>
      <c r="AH57">
        <f t="shared" si="51"/>
        <v>1.8955717136445314E-2</v>
      </c>
      <c r="AI57" s="2">
        <f t="shared" si="32"/>
        <v>0.47389292841113284</v>
      </c>
      <c r="AJ57">
        <v>15</v>
      </c>
      <c r="AK57">
        <f>AH57-AH58</f>
        <v>7.724101815157515E-4</v>
      </c>
      <c r="AL57">
        <f t="shared" si="52"/>
        <v>5.14940121010501E-5</v>
      </c>
    </row>
    <row r="58" spans="1:39" x14ac:dyDescent="0.2">
      <c r="A58" t="s">
        <v>44</v>
      </c>
      <c r="B58">
        <v>2005</v>
      </c>
      <c r="C58">
        <f t="shared" si="33"/>
        <v>20</v>
      </c>
      <c r="D58">
        <v>2</v>
      </c>
      <c r="E58">
        <v>1</v>
      </c>
      <c r="F58" t="s">
        <v>40</v>
      </c>
      <c r="G58">
        <v>10</v>
      </c>
      <c r="H58">
        <v>5</v>
      </c>
      <c r="I58">
        <f t="shared" si="43"/>
        <v>0.5</v>
      </c>
      <c r="K58">
        <v>4</v>
      </c>
      <c r="M58">
        <v>16</v>
      </c>
      <c r="N58">
        <v>1.8160000000000001</v>
      </c>
      <c r="O58">
        <v>32.570999999999998</v>
      </c>
      <c r="P58">
        <f t="shared" si="39"/>
        <v>30.754999999999999</v>
      </c>
      <c r="Q58">
        <v>26.47</v>
      </c>
      <c r="R58">
        <f t="shared" si="40"/>
        <v>24.654</v>
      </c>
      <c r="S58">
        <f t="shared" si="44"/>
        <v>6.1009999999999991</v>
      </c>
      <c r="T58">
        <f t="shared" si="45"/>
        <v>19.837424808974149</v>
      </c>
      <c r="U58">
        <v>19</v>
      </c>
      <c r="V58">
        <v>28.572700000000001</v>
      </c>
      <c r="W58">
        <v>32.744</v>
      </c>
      <c r="X58">
        <f t="shared" si="46"/>
        <v>4.1712999999999987</v>
      </c>
      <c r="Y58">
        <f t="shared" si="47"/>
        <v>4171.2999999999984</v>
      </c>
      <c r="Z58">
        <v>32.575800000000001</v>
      </c>
      <c r="AA58">
        <f t="shared" si="48"/>
        <v>4.0030999999999999</v>
      </c>
      <c r="AB58">
        <f t="shared" si="41"/>
        <v>4003.1</v>
      </c>
      <c r="AC58">
        <f t="shared" si="49"/>
        <v>168.19999999999845</v>
      </c>
      <c r="AD58">
        <v>0.94418669989266912</v>
      </c>
      <c r="AE58">
        <f t="shared" si="1"/>
        <v>0.47209334994633456</v>
      </c>
      <c r="AF58">
        <f t="shared" si="42"/>
        <v>4.0323160645362002</v>
      </c>
      <c r="AG58">
        <f t="shared" si="50"/>
        <v>3.8516337832330318</v>
      </c>
      <c r="AH58">
        <f t="shared" si="51"/>
        <v>1.8183306954929562E-2</v>
      </c>
      <c r="AI58" s="2">
        <f t="shared" si="32"/>
        <v>0.18183306954929562</v>
      </c>
      <c r="AJ58">
        <v>10</v>
      </c>
      <c r="AK58">
        <f>AH58</f>
        <v>1.8183306954929562E-2</v>
      </c>
      <c r="AL58">
        <f t="shared" si="52"/>
        <v>1.8183306954929561E-3</v>
      </c>
      <c r="AM58" t="s">
        <v>46</v>
      </c>
    </row>
    <row r="59" spans="1:39" x14ac:dyDescent="0.2">
      <c r="A59" t="s">
        <v>44</v>
      </c>
      <c r="B59">
        <v>2005</v>
      </c>
      <c r="C59">
        <f t="shared" si="33"/>
        <v>20</v>
      </c>
      <c r="D59">
        <v>2</v>
      </c>
      <c r="E59">
        <v>2</v>
      </c>
      <c r="F59" s="3" t="s">
        <v>41</v>
      </c>
      <c r="G59">
        <v>50</v>
      </c>
      <c r="H59">
        <v>17.5</v>
      </c>
      <c r="I59">
        <f t="shared" si="43"/>
        <v>0.35</v>
      </c>
      <c r="K59">
        <v>4</v>
      </c>
      <c r="M59">
        <v>17</v>
      </c>
      <c r="N59">
        <v>1.823</v>
      </c>
      <c r="O59">
        <v>34.020000000000003</v>
      </c>
      <c r="P59">
        <f t="shared" si="39"/>
        <v>32.197000000000003</v>
      </c>
      <c r="Q59">
        <v>26.945</v>
      </c>
      <c r="R59">
        <f t="shared" si="40"/>
        <v>25.122</v>
      </c>
      <c r="S59">
        <f t="shared" si="44"/>
        <v>7.0750000000000028</v>
      </c>
      <c r="T59">
        <f t="shared" si="45"/>
        <v>21.974096965555802</v>
      </c>
      <c r="U59">
        <v>15</v>
      </c>
      <c r="V59">
        <v>27.838000000000001</v>
      </c>
      <c r="W59">
        <v>31.654900000000001</v>
      </c>
      <c r="X59">
        <f t="shared" si="46"/>
        <v>3.8169000000000004</v>
      </c>
      <c r="Y59">
        <f t="shared" si="47"/>
        <v>3816.9000000000005</v>
      </c>
      <c r="Z59">
        <v>31.476600000000001</v>
      </c>
      <c r="AA59">
        <f t="shared" si="48"/>
        <v>3.6386000000000003</v>
      </c>
      <c r="AB59">
        <f t="shared" si="41"/>
        <v>3638.6000000000004</v>
      </c>
      <c r="AC59">
        <f t="shared" si="49"/>
        <v>178.30000000000018</v>
      </c>
      <c r="AD59">
        <v>1.0202627626905951</v>
      </c>
      <c r="AE59">
        <f t="shared" si="1"/>
        <v>0.35709196694170825</v>
      </c>
      <c r="AF59">
        <f t="shared" si="42"/>
        <v>4.6713301370221947</v>
      </c>
      <c r="AG59">
        <f t="shared" si="50"/>
        <v>4.0816788493279894</v>
      </c>
      <c r="AH59">
        <f t="shared" si="51"/>
        <v>1.4575347287309002E-2</v>
      </c>
      <c r="AI59" s="2">
        <f t="shared" si="32"/>
        <v>0.72876736436545009</v>
      </c>
      <c r="AJ59">
        <v>25</v>
      </c>
      <c r="AK59">
        <f>AH59-(AK60+AK61)</f>
        <v>-4.2258620959293378E-3</v>
      </c>
      <c r="AL59">
        <f t="shared" si="52"/>
        <v>-1.6903448383717351E-4</v>
      </c>
    </row>
    <row r="60" spans="1:39" x14ac:dyDescent="0.2">
      <c r="A60" t="s">
        <v>44</v>
      </c>
      <c r="B60">
        <v>2005</v>
      </c>
      <c r="C60">
        <f t="shared" si="33"/>
        <v>20</v>
      </c>
      <c r="D60">
        <v>2</v>
      </c>
      <c r="E60">
        <v>2</v>
      </c>
      <c r="F60" t="s">
        <v>39</v>
      </c>
      <c r="G60">
        <v>25</v>
      </c>
      <c r="H60">
        <v>16</v>
      </c>
      <c r="I60">
        <f t="shared" si="43"/>
        <v>0.64</v>
      </c>
      <c r="K60">
        <v>4</v>
      </c>
      <c r="M60">
        <v>18</v>
      </c>
      <c r="N60">
        <v>1.8320000000000001</v>
      </c>
      <c r="O60">
        <v>33.478999999999999</v>
      </c>
      <c r="P60">
        <f t="shared" si="39"/>
        <v>31.646999999999998</v>
      </c>
      <c r="Q60">
        <v>25.85</v>
      </c>
      <c r="R60">
        <f t="shared" si="40"/>
        <v>24.018000000000001</v>
      </c>
      <c r="S60">
        <f t="shared" si="44"/>
        <v>7.6289999999999978</v>
      </c>
      <c r="T60">
        <f t="shared" si="45"/>
        <v>24.106550383922638</v>
      </c>
      <c r="U60">
        <v>21</v>
      </c>
      <c r="V60">
        <v>31.08</v>
      </c>
      <c r="W60">
        <v>33.701799999999999</v>
      </c>
      <c r="X60">
        <f t="shared" si="46"/>
        <v>2.6218000000000004</v>
      </c>
      <c r="Y60">
        <f t="shared" si="47"/>
        <v>2621.8</v>
      </c>
      <c r="Z60">
        <v>33.5931</v>
      </c>
      <c r="AA60">
        <f t="shared" si="48"/>
        <v>2.5131000000000014</v>
      </c>
      <c r="AB60">
        <f t="shared" si="41"/>
        <v>2513.1000000000013</v>
      </c>
      <c r="AC60">
        <f t="shared" si="49"/>
        <v>108.69999999999891</v>
      </c>
      <c r="AD60">
        <v>0.75469284577388129</v>
      </c>
      <c r="AE60">
        <f t="shared" si="1"/>
        <v>0.48300342129528406</v>
      </c>
      <c r="AF60">
        <f t="shared" si="42"/>
        <v>4.146006560378324</v>
      </c>
      <c r="AG60">
        <f t="shared" si="50"/>
        <v>3.8925623617361964</v>
      </c>
      <c r="AH60">
        <f t="shared" si="51"/>
        <v>1.880120938323834E-2</v>
      </c>
      <c r="AI60" s="2">
        <f t="shared" si="32"/>
        <v>0.47003023458095849</v>
      </c>
      <c r="AJ60">
        <v>15</v>
      </c>
      <c r="AK60">
        <f>AH60-AH61</f>
        <v>-1.3875372406058125E-2</v>
      </c>
      <c r="AL60">
        <f t="shared" si="52"/>
        <v>-9.250248270705417E-4</v>
      </c>
    </row>
    <row r="61" spans="1:39" x14ac:dyDescent="0.2">
      <c r="A61" t="s">
        <v>44</v>
      </c>
      <c r="B61">
        <v>2005</v>
      </c>
      <c r="C61">
        <f t="shared" si="33"/>
        <v>20</v>
      </c>
      <c r="D61">
        <v>2</v>
      </c>
      <c r="E61">
        <v>2</v>
      </c>
      <c r="F61" t="s">
        <v>40</v>
      </c>
      <c r="G61">
        <v>10</v>
      </c>
      <c r="H61">
        <v>9</v>
      </c>
      <c r="I61">
        <f t="shared" si="43"/>
        <v>0.9</v>
      </c>
      <c r="K61">
        <v>5.2</v>
      </c>
      <c r="M61">
        <v>19</v>
      </c>
      <c r="N61">
        <v>1.83</v>
      </c>
      <c r="O61">
        <v>33.994</v>
      </c>
      <c r="P61">
        <f t="shared" si="39"/>
        <v>32.164000000000001</v>
      </c>
      <c r="Q61">
        <v>27.936</v>
      </c>
      <c r="R61">
        <f t="shared" si="40"/>
        <v>26.106000000000002</v>
      </c>
      <c r="S61">
        <f t="shared" si="44"/>
        <v>6.0579999999999998</v>
      </c>
      <c r="T61">
        <f t="shared" si="45"/>
        <v>18.834722049496332</v>
      </c>
      <c r="U61">
        <v>5</v>
      </c>
      <c r="V61">
        <v>22.166899999999998</v>
      </c>
      <c r="W61">
        <v>26.739899999999999</v>
      </c>
      <c r="X61">
        <f t="shared" si="46"/>
        <v>4.5730000000000004</v>
      </c>
      <c r="Y61">
        <f t="shared" si="47"/>
        <v>4573</v>
      </c>
      <c r="Z61">
        <v>26.5563</v>
      </c>
      <c r="AA61">
        <f t="shared" si="48"/>
        <v>4.389400000000002</v>
      </c>
      <c r="AB61">
        <f t="shared" si="41"/>
        <v>4389.4000000000024</v>
      </c>
      <c r="AC61">
        <f t="shared" si="49"/>
        <v>183.59999999999764</v>
      </c>
      <c r="AD61">
        <v>0.94418669989266912</v>
      </c>
      <c r="AE61">
        <f t="shared" si="1"/>
        <v>0.84976802990340228</v>
      </c>
      <c r="AF61">
        <f t="shared" si="42"/>
        <v>4.0148698884757845</v>
      </c>
      <c r="AG61">
        <f t="shared" si="50"/>
        <v>3.8453531598512822</v>
      </c>
      <c r="AH61">
        <f t="shared" si="51"/>
        <v>3.2676581789296465E-2</v>
      </c>
      <c r="AI61" s="2">
        <f t="shared" ref="AI61:AI92" si="53">AH61*G61</f>
        <v>0.32676581789296466</v>
      </c>
      <c r="AJ61">
        <v>10</v>
      </c>
      <c r="AK61">
        <f>AH61</f>
        <v>3.2676581789296465E-2</v>
      </c>
      <c r="AL61">
        <f t="shared" si="52"/>
        <v>3.2676581789296464E-3</v>
      </c>
      <c r="AM61" t="s">
        <v>47</v>
      </c>
    </row>
    <row r="62" spans="1:39" x14ac:dyDescent="0.2">
      <c r="A62" t="s">
        <v>44</v>
      </c>
      <c r="B62">
        <v>2005</v>
      </c>
      <c r="C62">
        <f t="shared" si="33"/>
        <v>20</v>
      </c>
      <c r="D62">
        <v>2</v>
      </c>
      <c r="E62">
        <v>3</v>
      </c>
      <c r="F62" t="s">
        <v>41</v>
      </c>
      <c r="G62">
        <v>50</v>
      </c>
      <c r="H62">
        <v>19.3</v>
      </c>
      <c r="I62">
        <f t="shared" si="43"/>
        <v>0.38600000000000001</v>
      </c>
      <c r="K62">
        <v>4</v>
      </c>
      <c r="L62">
        <v>24.861999999999998</v>
      </c>
      <c r="M62">
        <v>20</v>
      </c>
      <c r="N62">
        <v>1.835</v>
      </c>
      <c r="O62">
        <v>33.909999999999997</v>
      </c>
      <c r="P62">
        <f t="shared" si="39"/>
        <v>32.074999999999996</v>
      </c>
      <c r="Q62">
        <v>24.818999999999999</v>
      </c>
      <c r="R62">
        <f t="shared" si="40"/>
        <v>22.983999999999998</v>
      </c>
      <c r="S62">
        <f t="shared" si="44"/>
        <v>9.0909999999999975</v>
      </c>
      <c r="T62">
        <f t="shared" si="45"/>
        <v>28.342946219797344</v>
      </c>
      <c r="U62">
        <v>1</v>
      </c>
      <c r="V62">
        <v>27.9679</v>
      </c>
      <c r="W62">
        <v>31.0623</v>
      </c>
      <c r="X62">
        <f t="shared" si="46"/>
        <v>3.0944000000000003</v>
      </c>
      <c r="Y62">
        <f t="shared" si="47"/>
        <v>3094.4</v>
      </c>
      <c r="Z62">
        <v>30.893799999999999</v>
      </c>
      <c r="AA62">
        <f t="shared" si="48"/>
        <v>2.9258999999999986</v>
      </c>
      <c r="AB62">
        <f t="shared" si="41"/>
        <v>2925.8999999999987</v>
      </c>
      <c r="AC62">
        <f t="shared" si="49"/>
        <v>168.50000000000136</v>
      </c>
      <c r="AD62">
        <v>1.0202627626905951</v>
      </c>
      <c r="AE62">
        <f t="shared" si="1"/>
        <v>0.39382142639856971</v>
      </c>
      <c r="AF62">
        <f t="shared" si="42"/>
        <v>5.4453205791106951</v>
      </c>
      <c r="AG62">
        <f t="shared" si="50"/>
        <v>4.3603154084798499</v>
      </c>
      <c r="AH62">
        <f t="shared" si="51"/>
        <v>1.7171856337151965E-2</v>
      </c>
      <c r="AI62" s="2">
        <f t="shared" si="53"/>
        <v>0.85859281685759825</v>
      </c>
      <c r="AJ62">
        <v>25</v>
      </c>
      <c r="AK62">
        <f>AH62-(AK63+AK64)</f>
        <v>1.4076077237748993E-3</v>
      </c>
      <c r="AL62">
        <f t="shared" si="52"/>
        <v>5.6304308950995973E-5</v>
      </c>
    </row>
    <row r="63" spans="1:39" x14ac:dyDescent="0.2">
      <c r="A63" t="s">
        <v>44</v>
      </c>
      <c r="B63">
        <v>2005</v>
      </c>
      <c r="C63">
        <f t="shared" si="33"/>
        <v>20</v>
      </c>
      <c r="D63">
        <v>2</v>
      </c>
      <c r="E63">
        <v>3</v>
      </c>
      <c r="F63" t="s">
        <v>39</v>
      </c>
      <c r="G63">
        <v>25</v>
      </c>
      <c r="H63">
        <v>11.7</v>
      </c>
      <c r="I63">
        <f t="shared" si="43"/>
        <v>0.46799999999999997</v>
      </c>
      <c r="K63">
        <v>4</v>
      </c>
      <c r="M63">
        <v>21</v>
      </c>
      <c r="N63">
        <v>1.851</v>
      </c>
      <c r="O63">
        <v>31.852</v>
      </c>
      <c r="P63">
        <f t="shared" si="39"/>
        <v>30.001000000000001</v>
      </c>
      <c r="Q63">
        <v>24.648</v>
      </c>
      <c r="R63">
        <f t="shared" si="40"/>
        <v>22.797000000000001</v>
      </c>
      <c r="S63">
        <f t="shared" si="44"/>
        <v>7.2040000000000006</v>
      </c>
      <c r="T63">
        <f t="shared" si="45"/>
        <v>24.01253291556948</v>
      </c>
      <c r="U63">
        <v>14</v>
      </c>
      <c r="V63">
        <v>27.799800000000001</v>
      </c>
      <c r="W63">
        <v>30.734500000000001</v>
      </c>
      <c r="X63">
        <f t="shared" si="46"/>
        <v>2.9346999999999994</v>
      </c>
      <c r="Y63">
        <f t="shared" si="47"/>
        <v>2934.6999999999994</v>
      </c>
      <c r="Z63">
        <v>30.566299999999998</v>
      </c>
      <c r="AA63">
        <f t="shared" si="48"/>
        <v>2.7664999999999971</v>
      </c>
      <c r="AB63">
        <f t="shared" si="41"/>
        <v>2766.4999999999973</v>
      </c>
      <c r="AC63">
        <f t="shared" si="49"/>
        <v>168.20000000000209</v>
      </c>
      <c r="AD63">
        <v>0.75469284577388129</v>
      </c>
      <c r="AE63">
        <f t="shared" si="1"/>
        <v>0.3531962518221764</v>
      </c>
      <c r="AF63">
        <f t="shared" si="42"/>
        <v>5.7314205881351459</v>
      </c>
      <c r="AG63">
        <f t="shared" si="50"/>
        <v>4.4633114117286521</v>
      </c>
      <c r="AH63">
        <f t="shared" si="51"/>
        <v>1.5764248613377066E-2</v>
      </c>
      <c r="AI63" s="2">
        <f t="shared" si="53"/>
        <v>0.39410621533442663</v>
      </c>
      <c r="AJ63">
        <v>15</v>
      </c>
      <c r="AK63">
        <f t="shared" ref="AK63" si="54">AH63-AH64</f>
        <v>-2.3330825490332871E-2</v>
      </c>
      <c r="AL63">
        <f t="shared" si="52"/>
        <v>-1.5553883660221915E-3</v>
      </c>
    </row>
    <row r="64" spans="1:39" x14ac:dyDescent="0.2">
      <c r="A64" t="s">
        <v>44</v>
      </c>
      <c r="B64">
        <v>2005</v>
      </c>
      <c r="C64">
        <f t="shared" si="33"/>
        <v>20</v>
      </c>
      <c r="D64">
        <v>2</v>
      </c>
      <c r="E64">
        <v>3</v>
      </c>
      <c r="F64" t="s">
        <v>40</v>
      </c>
      <c r="G64">
        <v>10</v>
      </c>
      <c r="H64">
        <v>9.5</v>
      </c>
      <c r="I64">
        <f t="shared" si="43"/>
        <v>0.95</v>
      </c>
      <c r="K64">
        <v>4</v>
      </c>
      <c r="M64">
        <v>22</v>
      </c>
      <c r="N64">
        <v>1.83</v>
      </c>
      <c r="O64">
        <v>33.115000000000002</v>
      </c>
      <c r="P64">
        <f t="shared" si="39"/>
        <v>31.285000000000004</v>
      </c>
      <c r="Q64">
        <v>25.527000000000001</v>
      </c>
      <c r="R64">
        <f t="shared" si="40"/>
        <v>23.697000000000003</v>
      </c>
      <c r="S64">
        <f t="shared" si="44"/>
        <v>7.588000000000001</v>
      </c>
      <c r="T64">
        <f t="shared" si="45"/>
        <v>24.254435032763304</v>
      </c>
      <c r="U64">
        <v>8</v>
      </c>
      <c r="V64">
        <v>27.346</v>
      </c>
      <c r="W64">
        <v>30.6693</v>
      </c>
      <c r="X64">
        <f t="shared" si="46"/>
        <v>3.3232999999999997</v>
      </c>
      <c r="Y64">
        <f t="shared" si="47"/>
        <v>3323.2999999999997</v>
      </c>
      <c r="Z64">
        <v>30.488499999999998</v>
      </c>
      <c r="AA64">
        <f t="shared" si="48"/>
        <v>3.1424999999999983</v>
      </c>
      <c r="AB64">
        <f t="shared" si="41"/>
        <v>3142.4999999999982</v>
      </c>
      <c r="AC64">
        <f t="shared" si="49"/>
        <v>180.80000000000155</v>
      </c>
      <c r="AD64">
        <v>0.94418669989266912</v>
      </c>
      <c r="AE64">
        <f t="shared" si="1"/>
        <v>0.89697736489803559</v>
      </c>
      <c r="AF64">
        <f t="shared" si="42"/>
        <v>5.4403755303463894</v>
      </c>
      <c r="AG64">
        <f t="shared" si="50"/>
        <v>4.3585351909246999</v>
      </c>
      <c r="AH64">
        <f t="shared" si="51"/>
        <v>3.9095074103709937E-2</v>
      </c>
      <c r="AI64" s="2">
        <f t="shared" si="53"/>
        <v>0.39095074103709937</v>
      </c>
      <c r="AJ64">
        <v>10</v>
      </c>
      <c r="AK64">
        <f t="shared" ref="AK64:AK82" si="55">AH64</f>
        <v>3.9095074103709937E-2</v>
      </c>
      <c r="AL64">
        <f t="shared" si="52"/>
        <v>3.9095074103709937E-3</v>
      </c>
    </row>
    <row r="65" spans="1:39" x14ac:dyDescent="0.2">
      <c r="A65" t="s">
        <v>44</v>
      </c>
      <c r="B65">
        <v>2023</v>
      </c>
      <c r="C65">
        <f t="shared" si="33"/>
        <v>2</v>
      </c>
      <c r="D65">
        <v>3</v>
      </c>
      <c r="E65">
        <v>1</v>
      </c>
      <c r="F65" t="s">
        <v>41</v>
      </c>
      <c r="G65">
        <v>50</v>
      </c>
      <c r="H65">
        <v>14</v>
      </c>
      <c r="I65">
        <f t="shared" si="43"/>
        <v>0.28000000000000003</v>
      </c>
      <c r="K65">
        <v>4</v>
      </c>
      <c r="M65">
        <v>24</v>
      </c>
      <c r="N65">
        <v>1.8380000000000001</v>
      </c>
      <c r="O65">
        <v>34.206000000000003</v>
      </c>
      <c r="P65">
        <f t="shared" si="39"/>
        <v>32.368000000000002</v>
      </c>
      <c r="Q65">
        <v>24.452000000000002</v>
      </c>
      <c r="R65">
        <f t="shared" si="40"/>
        <v>22.614000000000001</v>
      </c>
      <c r="S65">
        <f>P65-R65</f>
        <v>9.7540000000000013</v>
      </c>
      <c r="T65">
        <f>((P65-R65)/P65)*100</f>
        <v>30.13470093919921</v>
      </c>
      <c r="U65">
        <v>3</v>
      </c>
      <c r="V65">
        <v>28.966699999999999</v>
      </c>
      <c r="W65">
        <v>31.771799999999999</v>
      </c>
      <c r="X65">
        <f>W65-V65</f>
        <v>2.8050999999999995</v>
      </c>
      <c r="Y65">
        <f>X65*1000</f>
        <v>2805.0999999999995</v>
      </c>
      <c r="Z65">
        <v>31.621600000000001</v>
      </c>
      <c r="AA65">
        <f>Z65-V65</f>
        <v>2.6549000000000014</v>
      </c>
      <c r="AB65">
        <f>AA65*1000</f>
        <v>2654.9000000000015</v>
      </c>
      <c r="AC65">
        <f>Y65-AB65</f>
        <v>150.199999999998</v>
      </c>
      <c r="AD65">
        <v>1.0202627626905951</v>
      </c>
      <c r="AE65">
        <f t="shared" si="1"/>
        <v>0.28567357355336664</v>
      </c>
      <c r="AF65">
        <f t="shared" si="42"/>
        <v>5.3545328152293337</v>
      </c>
      <c r="AG65">
        <f t="shared" si="50"/>
        <v>4.3276318134825598</v>
      </c>
      <c r="AH65">
        <f t="shared" si="51"/>
        <v>1.2362900451807995E-2</v>
      </c>
      <c r="AI65" s="2">
        <f t="shared" si="53"/>
        <v>0.61814502259039972</v>
      </c>
      <c r="AJ65">
        <v>25</v>
      </c>
      <c r="AK65">
        <f t="shared" si="55"/>
        <v>1.2362900451807995E-2</v>
      </c>
      <c r="AL65">
        <f t="shared" si="52"/>
        <v>4.9451601807231976E-4</v>
      </c>
    </row>
    <row r="66" spans="1:39" x14ac:dyDescent="0.2">
      <c r="A66" t="s">
        <v>44</v>
      </c>
      <c r="B66">
        <v>2023</v>
      </c>
      <c r="C66">
        <f t="shared" si="33"/>
        <v>2</v>
      </c>
      <c r="D66">
        <v>3</v>
      </c>
      <c r="E66">
        <v>1</v>
      </c>
      <c r="F66" t="s">
        <v>39</v>
      </c>
      <c r="G66">
        <v>25</v>
      </c>
      <c r="H66">
        <v>15.4</v>
      </c>
      <c r="I66">
        <f t="shared" si="43"/>
        <v>0.61599999999999999</v>
      </c>
      <c r="K66">
        <v>4</v>
      </c>
      <c r="M66">
        <v>23</v>
      </c>
      <c r="N66">
        <v>1.8240000000000001</v>
      </c>
      <c r="O66">
        <v>32.247</v>
      </c>
      <c r="P66">
        <f t="shared" si="39"/>
        <v>30.422999999999998</v>
      </c>
      <c r="Q66">
        <v>23.81</v>
      </c>
      <c r="R66">
        <f t="shared" si="40"/>
        <v>21.985999999999997</v>
      </c>
      <c r="S66">
        <f t="shared" si="44"/>
        <v>8.4370000000000012</v>
      </c>
      <c r="T66">
        <f t="shared" si="45"/>
        <v>27.732307793445756</v>
      </c>
      <c r="U66">
        <v>11</v>
      </c>
      <c r="V66">
        <v>27.441600000000001</v>
      </c>
      <c r="W66">
        <v>31.2515</v>
      </c>
      <c r="X66">
        <f t="shared" si="46"/>
        <v>3.809899999999999</v>
      </c>
      <c r="Y66">
        <f t="shared" si="47"/>
        <v>3809.8999999999987</v>
      </c>
      <c r="Z66">
        <v>31.083400000000001</v>
      </c>
      <c r="AA66">
        <f t="shared" si="48"/>
        <v>3.6417999999999999</v>
      </c>
      <c r="AB66">
        <f t="shared" si="41"/>
        <v>3641.7999999999997</v>
      </c>
      <c r="AC66">
        <f t="shared" si="49"/>
        <v>168.099999999999</v>
      </c>
      <c r="AD66">
        <v>0.75469284577388129</v>
      </c>
      <c r="AE66">
        <f t="shared" si="1"/>
        <v>0.46489079299671088</v>
      </c>
      <c r="AF66">
        <f t="shared" si="42"/>
        <v>4.4121892963069644</v>
      </c>
      <c r="AG66">
        <f t="shared" si="50"/>
        <v>3.9883881466705073</v>
      </c>
      <c r="AH66">
        <f t="shared" si="51"/>
        <v>1.8541649282843343E-2</v>
      </c>
      <c r="AI66" s="2">
        <f t="shared" si="53"/>
        <v>0.46354123207108355</v>
      </c>
      <c r="AJ66">
        <v>15</v>
      </c>
      <c r="AK66">
        <f t="shared" si="55"/>
        <v>1.8541649282843343E-2</v>
      </c>
      <c r="AL66">
        <f t="shared" si="52"/>
        <v>1.2361099521895561E-3</v>
      </c>
    </row>
    <row r="67" spans="1:39" x14ac:dyDescent="0.2">
      <c r="A67" t="s">
        <v>44</v>
      </c>
      <c r="B67">
        <v>2023</v>
      </c>
      <c r="C67">
        <f t="shared" si="33"/>
        <v>2</v>
      </c>
      <c r="D67">
        <v>3</v>
      </c>
      <c r="E67">
        <v>1</v>
      </c>
      <c r="F67" t="s">
        <v>40</v>
      </c>
      <c r="G67">
        <v>10</v>
      </c>
      <c r="H67">
        <v>10</v>
      </c>
      <c r="I67">
        <f t="shared" si="43"/>
        <v>1</v>
      </c>
      <c r="K67">
        <v>5.2</v>
      </c>
      <c r="M67">
        <v>25</v>
      </c>
      <c r="N67">
        <v>1.829</v>
      </c>
      <c r="O67">
        <v>34.110999999999997</v>
      </c>
      <c r="P67">
        <f t="shared" si="39"/>
        <v>32.281999999999996</v>
      </c>
      <c r="Q67">
        <v>24.652999999999999</v>
      </c>
      <c r="R67">
        <f t="shared" si="40"/>
        <v>22.823999999999998</v>
      </c>
      <c r="S67">
        <f t="shared" si="44"/>
        <v>9.4579999999999984</v>
      </c>
      <c r="T67">
        <f t="shared" si="45"/>
        <v>29.298060838857566</v>
      </c>
      <c r="U67">
        <v>10</v>
      </c>
      <c r="V67">
        <v>28.569900000000001</v>
      </c>
      <c r="W67">
        <v>32.132399999999997</v>
      </c>
      <c r="X67">
        <f t="shared" si="46"/>
        <v>3.5624999999999964</v>
      </c>
      <c r="Y67">
        <f t="shared" si="47"/>
        <v>3562.4999999999964</v>
      </c>
      <c r="Z67">
        <v>31.986000000000001</v>
      </c>
      <c r="AA67">
        <f t="shared" si="48"/>
        <v>3.4161000000000001</v>
      </c>
      <c r="AB67">
        <f t="shared" si="41"/>
        <v>3416.1000000000004</v>
      </c>
      <c r="AC67">
        <f t="shared" si="49"/>
        <v>146.399999999996</v>
      </c>
      <c r="AD67">
        <v>0.94418669989266912</v>
      </c>
      <c r="AE67">
        <f t="shared" si="1"/>
        <v>0.94418669989266912</v>
      </c>
      <c r="AF67">
        <f t="shared" si="42"/>
        <v>4.1094736842104185</v>
      </c>
      <c r="AG67">
        <f t="shared" si="50"/>
        <v>3.8794105263157506</v>
      </c>
      <c r="AH67">
        <f t="shared" si="51"/>
        <v>3.6628878223709513E-2</v>
      </c>
      <c r="AI67" s="2">
        <f t="shared" si="53"/>
        <v>0.36628878223709516</v>
      </c>
      <c r="AJ67">
        <v>10</v>
      </c>
      <c r="AK67">
        <f t="shared" si="55"/>
        <v>3.6628878223709513E-2</v>
      </c>
      <c r="AL67">
        <f t="shared" si="52"/>
        <v>3.6628878223709514E-3</v>
      </c>
    </row>
    <row r="68" spans="1:39" x14ac:dyDescent="0.2">
      <c r="A68" t="s">
        <v>44</v>
      </c>
      <c r="B68">
        <v>2023</v>
      </c>
      <c r="C68">
        <f t="shared" si="33"/>
        <v>2</v>
      </c>
      <c r="D68">
        <v>3</v>
      </c>
      <c r="E68">
        <v>2</v>
      </c>
      <c r="F68" t="s">
        <v>41</v>
      </c>
      <c r="G68">
        <v>50</v>
      </c>
      <c r="H68">
        <v>14.5</v>
      </c>
      <c r="I68">
        <f t="shared" si="43"/>
        <v>0.28999999999999998</v>
      </c>
      <c r="K68">
        <v>4</v>
      </c>
      <c r="M68">
        <v>26</v>
      </c>
      <c r="N68">
        <v>1.8169999999999999</v>
      </c>
      <c r="O68">
        <v>35.280999999999999</v>
      </c>
      <c r="P68">
        <f t="shared" si="39"/>
        <v>33.463999999999999</v>
      </c>
      <c r="Q68">
        <v>24.481000000000002</v>
      </c>
      <c r="R68">
        <f t="shared" si="40"/>
        <v>22.664000000000001</v>
      </c>
      <c r="S68">
        <f t="shared" si="44"/>
        <v>10.799999999999997</v>
      </c>
      <c r="T68">
        <f t="shared" si="45"/>
        <v>32.273487927324879</v>
      </c>
      <c r="U68">
        <v>16</v>
      </c>
      <c r="V68">
        <v>28.4529</v>
      </c>
      <c r="W68">
        <v>30.911899999999999</v>
      </c>
      <c r="X68">
        <f t="shared" si="46"/>
        <v>2.4589999999999996</v>
      </c>
      <c r="Y68">
        <f t="shared" si="47"/>
        <v>2458.9999999999995</v>
      </c>
      <c r="Z68">
        <v>30.782</v>
      </c>
      <c r="AA68">
        <f t="shared" si="48"/>
        <v>2.3291000000000004</v>
      </c>
      <c r="AB68">
        <f t="shared" si="41"/>
        <v>2329.1000000000004</v>
      </c>
      <c r="AC68">
        <f t="shared" si="49"/>
        <v>129.89999999999918</v>
      </c>
      <c r="AD68">
        <v>1.0202627626905951</v>
      </c>
      <c r="AE68">
        <f t="shared" ref="AE68:AE108" si="56">AD68*I68</f>
        <v>0.29587620118027258</v>
      </c>
      <c r="AF68">
        <f t="shared" si="42"/>
        <v>5.2826352175680844</v>
      </c>
      <c r="AG68">
        <f t="shared" si="50"/>
        <v>4.3017486783245102</v>
      </c>
      <c r="AH68">
        <f t="shared" si="51"/>
        <v>1.2727850573749144E-2</v>
      </c>
      <c r="AI68" s="2">
        <f t="shared" si="53"/>
        <v>0.63639252868745722</v>
      </c>
      <c r="AJ68">
        <v>25</v>
      </c>
      <c r="AK68">
        <f t="shared" si="55"/>
        <v>1.2727850573749144E-2</v>
      </c>
      <c r="AL68">
        <f t="shared" si="52"/>
        <v>5.0911402294996579E-4</v>
      </c>
    </row>
    <row r="69" spans="1:39" x14ac:dyDescent="0.2">
      <c r="A69" t="s">
        <v>44</v>
      </c>
      <c r="B69">
        <v>2023</v>
      </c>
      <c r="C69">
        <f t="shared" si="33"/>
        <v>2</v>
      </c>
      <c r="D69">
        <v>3</v>
      </c>
      <c r="E69">
        <v>2</v>
      </c>
      <c r="F69" t="s">
        <v>39</v>
      </c>
      <c r="G69">
        <v>25</v>
      </c>
      <c r="H69">
        <v>10.5</v>
      </c>
      <c r="I69">
        <f t="shared" si="43"/>
        <v>0.42</v>
      </c>
      <c r="K69">
        <v>4</v>
      </c>
      <c r="M69">
        <v>27</v>
      </c>
      <c r="N69">
        <v>1.839</v>
      </c>
      <c r="O69">
        <v>36.270000000000003</v>
      </c>
      <c r="P69">
        <f t="shared" si="39"/>
        <v>34.431000000000004</v>
      </c>
      <c r="Q69">
        <v>25.981000000000002</v>
      </c>
      <c r="R69">
        <f t="shared" si="40"/>
        <v>24.142000000000003</v>
      </c>
      <c r="S69">
        <f t="shared" si="44"/>
        <v>10.289000000000001</v>
      </c>
      <c r="T69">
        <f t="shared" si="45"/>
        <v>29.882954314425952</v>
      </c>
      <c r="U69">
        <v>20</v>
      </c>
      <c r="V69">
        <v>28.529499999999999</v>
      </c>
      <c r="W69">
        <v>31.598400000000002</v>
      </c>
      <c r="X69">
        <f t="shared" si="46"/>
        <v>3.0689000000000028</v>
      </c>
      <c r="Y69">
        <f t="shared" si="47"/>
        <v>3068.9000000000028</v>
      </c>
      <c r="Z69">
        <v>31.446300000000001</v>
      </c>
      <c r="AA69">
        <f t="shared" si="48"/>
        <v>2.9168000000000021</v>
      </c>
      <c r="AB69">
        <f t="shared" si="41"/>
        <v>2916.800000000002</v>
      </c>
      <c r="AC69">
        <f t="shared" si="49"/>
        <v>152.10000000000082</v>
      </c>
      <c r="AD69">
        <v>0.75469284577388129</v>
      </c>
      <c r="AE69">
        <f t="shared" si="56"/>
        <v>0.31697099522503014</v>
      </c>
      <c r="AF69">
        <f t="shared" si="42"/>
        <v>4.9561732216755408</v>
      </c>
      <c r="AG69">
        <f t="shared" si="50"/>
        <v>4.1842223598031945</v>
      </c>
      <c r="AH69">
        <f t="shared" si="51"/>
        <v>1.3262771256296426E-2</v>
      </c>
      <c r="AI69" s="2">
        <f t="shared" si="53"/>
        <v>0.33156928140741065</v>
      </c>
      <c r="AJ69">
        <v>15</v>
      </c>
      <c r="AK69">
        <f t="shared" si="55"/>
        <v>1.3262771256296426E-2</v>
      </c>
      <c r="AL69">
        <f t="shared" si="52"/>
        <v>8.841847504197618E-4</v>
      </c>
    </row>
    <row r="70" spans="1:39" x14ac:dyDescent="0.2">
      <c r="A70" t="s">
        <v>44</v>
      </c>
      <c r="B70">
        <v>2023</v>
      </c>
      <c r="C70">
        <f t="shared" si="33"/>
        <v>2</v>
      </c>
      <c r="D70">
        <v>3</v>
      </c>
      <c r="E70">
        <v>2</v>
      </c>
      <c r="F70" t="s">
        <v>40</v>
      </c>
      <c r="G70">
        <v>10</v>
      </c>
      <c r="H70">
        <v>7.5</v>
      </c>
      <c r="I70">
        <f t="shared" si="43"/>
        <v>0.75</v>
      </c>
      <c r="K70">
        <v>4</v>
      </c>
      <c r="M70">
        <v>28</v>
      </c>
      <c r="N70">
        <v>1.84</v>
      </c>
      <c r="O70">
        <v>32.054000000000002</v>
      </c>
      <c r="P70">
        <f t="shared" si="39"/>
        <v>30.214000000000002</v>
      </c>
      <c r="Q70">
        <v>22.687999999999999</v>
      </c>
      <c r="R70">
        <f t="shared" si="40"/>
        <v>20.847999999999999</v>
      </c>
      <c r="S70">
        <f t="shared" si="44"/>
        <v>9.3660000000000032</v>
      </c>
      <c r="T70">
        <f t="shared" si="45"/>
        <v>30.998874693850542</v>
      </c>
      <c r="U70">
        <v>15</v>
      </c>
      <c r="V70">
        <v>27.837800000000001</v>
      </c>
      <c r="W70">
        <v>31.334299999999999</v>
      </c>
      <c r="X70">
        <f t="shared" si="46"/>
        <v>3.4964999999999975</v>
      </c>
      <c r="Y70">
        <f t="shared" si="47"/>
        <v>3496.4999999999973</v>
      </c>
      <c r="Z70">
        <v>31.177199999999999</v>
      </c>
      <c r="AA70">
        <f t="shared" si="48"/>
        <v>3.3393999999999977</v>
      </c>
      <c r="AB70">
        <f t="shared" si="41"/>
        <v>3339.3999999999978</v>
      </c>
      <c r="AC70">
        <f t="shared" si="49"/>
        <v>157.09999999999945</v>
      </c>
      <c r="AD70">
        <v>0.94418669989266912</v>
      </c>
      <c r="AE70">
        <f t="shared" si="56"/>
        <v>0.70814002491950179</v>
      </c>
      <c r="AF70">
        <f t="shared" si="42"/>
        <v>4.4930644930644812</v>
      </c>
      <c r="AG70">
        <f t="shared" si="50"/>
        <v>4.0175032175032133</v>
      </c>
      <c r="AH70">
        <f t="shared" si="51"/>
        <v>2.8449548285569042E-2</v>
      </c>
      <c r="AI70" s="2">
        <f t="shared" si="53"/>
        <v>0.28449548285569043</v>
      </c>
      <c r="AJ70">
        <v>10</v>
      </c>
      <c r="AK70">
        <f t="shared" si="55"/>
        <v>2.8449548285569042E-2</v>
      </c>
      <c r="AL70">
        <f t="shared" si="52"/>
        <v>2.8449548285569043E-3</v>
      </c>
    </row>
    <row r="71" spans="1:39" x14ac:dyDescent="0.2">
      <c r="A71" t="s">
        <v>44</v>
      </c>
      <c r="B71">
        <v>2023</v>
      </c>
      <c r="C71">
        <f t="shared" si="33"/>
        <v>2</v>
      </c>
      <c r="D71">
        <v>3</v>
      </c>
      <c r="E71">
        <v>3</v>
      </c>
      <c r="F71" t="s">
        <v>41</v>
      </c>
      <c r="G71">
        <v>50</v>
      </c>
      <c r="H71">
        <v>20.2</v>
      </c>
      <c r="I71">
        <f t="shared" si="43"/>
        <v>0.40399999999999997</v>
      </c>
      <c r="K71">
        <v>4</v>
      </c>
      <c r="M71">
        <v>29</v>
      </c>
      <c r="N71">
        <v>1.83</v>
      </c>
      <c r="O71">
        <v>33.47</v>
      </c>
      <c r="P71">
        <f t="shared" si="39"/>
        <v>31.64</v>
      </c>
      <c r="Q71">
        <v>25.891999999999999</v>
      </c>
      <c r="R71">
        <f t="shared" si="40"/>
        <v>24.061999999999998</v>
      </c>
      <c r="S71">
        <f t="shared" si="44"/>
        <v>7.578000000000003</v>
      </c>
      <c r="T71">
        <f t="shared" si="45"/>
        <v>23.950695322376745</v>
      </c>
      <c r="U71">
        <v>17</v>
      </c>
      <c r="V71">
        <v>28.976900000000001</v>
      </c>
      <c r="W71">
        <v>32.813400000000001</v>
      </c>
      <c r="X71">
        <f t="shared" si="46"/>
        <v>3.8365000000000009</v>
      </c>
      <c r="Y71">
        <f t="shared" si="47"/>
        <v>3836.5000000000009</v>
      </c>
      <c r="Z71">
        <v>32.641500000000001</v>
      </c>
      <c r="AA71">
        <f t="shared" si="48"/>
        <v>3.6646000000000001</v>
      </c>
      <c r="AB71">
        <f t="shared" si="41"/>
        <v>3664.6</v>
      </c>
      <c r="AC71">
        <f t="shared" si="49"/>
        <v>171.900000000001</v>
      </c>
      <c r="AD71">
        <v>1.0202627626905951</v>
      </c>
      <c r="AE71">
        <f t="shared" si="56"/>
        <v>0.41218615612700038</v>
      </c>
      <c r="AF71">
        <f t="shared" si="42"/>
        <v>4.480646422520552</v>
      </c>
      <c r="AG71">
        <f t="shared" si="50"/>
        <v>4.0130327121073988</v>
      </c>
      <c r="AH71">
        <f t="shared" si="51"/>
        <v>1.6541165280154597E-2</v>
      </c>
      <c r="AI71" s="2">
        <f t="shared" si="53"/>
        <v>0.82705826400772986</v>
      </c>
      <c r="AJ71">
        <v>25</v>
      </c>
      <c r="AK71">
        <f t="shared" si="55"/>
        <v>1.6541165280154597E-2</v>
      </c>
      <c r="AL71">
        <f t="shared" si="52"/>
        <v>6.6164661120618386E-4</v>
      </c>
    </row>
    <row r="72" spans="1:39" x14ac:dyDescent="0.2">
      <c r="A72" t="s">
        <v>44</v>
      </c>
      <c r="B72">
        <v>2023</v>
      </c>
      <c r="C72">
        <f t="shared" si="33"/>
        <v>2</v>
      </c>
      <c r="D72">
        <v>3</v>
      </c>
      <c r="E72">
        <v>3</v>
      </c>
      <c r="F72" t="s">
        <v>39</v>
      </c>
      <c r="G72">
        <v>25</v>
      </c>
      <c r="H72">
        <v>19</v>
      </c>
      <c r="I72">
        <f t="shared" si="43"/>
        <v>0.76</v>
      </c>
      <c r="K72">
        <v>4</v>
      </c>
      <c r="M72">
        <v>30</v>
      </c>
      <c r="N72">
        <v>1.851</v>
      </c>
      <c r="O72">
        <v>33.716999999999999</v>
      </c>
      <c r="P72">
        <f t="shared" si="39"/>
        <v>31.866</v>
      </c>
      <c r="Q72">
        <v>26.134</v>
      </c>
      <c r="R72">
        <f t="shared" si="40"/>
        <v>24.283000000000001</v>
      </c>
      <c r="S72">
        <f t="shared" si="44"/>
        <v>7.5829999999999984</v>
      </c>
      <c r="T72">
        <f t="shared" si="45"/>
        <v>23.796522939810451</v>
      </c>
      <c r="U72">
        <v>7</v>
      </c>
      <c r="V72">
        <v>27.2575</v>
      </c>
      <c r="W72">
        <v>30.534199999999998</v>
      </c>
      <c r="X72">
        <f t="shared" si="46"/>
        <v>3.2766999999999982</v>
      </c>
      <c r="Y72">
        <f t="shared" si="47"/>
        <v>3276.699999999998</v>
      </c>
      <c r="Z72">
        <v>30.399000000000001</v>
      </c>
      <c r="AA72">
        <f t="shared" si="48"/>
        <v>3.1415000000000006</v>
      </c>
      <c r="AB72">
        <f t="shared" si="41"/>
        <v>3141.5000000000005</v>
      </c>
      <c r="AC72">
        <f t="shared" si="49"/>
        <v>135.19999999999754</v>
      </c>
      <c r="AD72">
        <v>0.75469284577388129</v>
      </c>
      <c r="AE72">
        <f t="shared" si="56"/>
        <v>0.57356656278814977</v>
      </c>
      <c r="AF72">
        <f t="shared" si="42"/>
        <v>4.1261024811547484</v>
      </c>
      <c r="AG72">
        <f t="shared" si="50"/>
        <v>3.8853968932157095</v>
      </c>
      <c r="AH72">
        <f t="shared" si="51"/>
        <v>2.2285337411094903E-2</v>
      </c>
      <c r="AI72" s="2">
        <f t="shared" si="53"/>
        <v>0.55713343527737258</v>
      </c>
      <c r="AJ72">
        <v>15</v>
      </c>
      <c r="AK72">
        <f t="shared" si="55"/>
        <v>2.2285337411094903E-2</v>
      </c>
      <c r="AL72">
        <f t="shared" si="52"/>
        <v>1.4856891607396602E-3</v>
      </c>
    </row>
    <row r="73" spans="1:39" x14ac:dyDescent="0.2">
      <c r="A73" t="s">
        <v>44</v>
      </c>
      <c r="B73">
        <v>2023</v>
      </c>
      <c r="C73">
        <f t="shared" si="33"/>
        <v>2</v>
      </c>
      <c r="D73">
        <v>3</v>
      </c>
      <c r="E73">
        <v>3</v>
      </c>
      <c r="F73" t="s">
        <v>40</v>
      </c>
      <c r="G73">
        <v>10</v>
      </c>
      <c r="H73">
        <v>10</v>
      </c>
      <c r="I73">
        <f t="shared" si="43"/>
        <v>1</v>
      </c>
      <c r="K73">
        <v>5.2</v>
      </c>
      <c r="M73">
        <v>31</v>
      </c>
      <c r="N73">
        <v>1.835</v>
      </c>
      <c r="O73">
        <v>36.220999999999997</v>
      </c>
      <c r="P73">
        <f t="shared" si="39"/>
        <v>34.385999999999996</v>
      </c>
      <c r="Q73">
        <v>28.172999999999998</v>
      </c>
      <c r="R73">
        <f t="shared" si="40"/>
        <v>26.337999999999997</v>
      </c>
      <c r="S73">
        <f t="shared" si="44"/>
        <v>8.0479999999999983</v>
      </c>
      <c r="T73">
        <f t="shared" si="45"/>
        <v>23.404874076659105</v>
      </c>
      <c r="U73">
        <v>13</v>
      </c>
      <c r="V73">
        <v>22.1968</v>
      </c>
      <c r="W73">
        <v>25.859100000000002</v>
      </c>
      <c r="X73">
        <f t="shared" si="46"/>
        <v>3.6623000000000019</v>
      </c>
      <c r="Y73">
        <f t="shared" si="47"/>
        <v>3662.300000000002</v>
      </c>
      <c r="Z73">
        <v>25.706399999999999</v>
      </c>
      <c r="AA73">
        <f t="shared" si="48"/>
        <v>3.5095999999999989</v>
      </c>
      <c r="AB73">
        <f t="shared" si="41"/>
        <v>3509.599999999999</v>
      </c>
      <c r="AC73">
        <f t="shared" si="49"/>
        <v>152.700000000003</v>
      </c>
      <c r="AD73">
        <v>0.94418669989266912</v>
      </c>
      <c r="AE73">
        <f t="shared" si="56"/>
        <v>0.94418669989266912</v>
      </c>
      <c r="AF73">
        <f t="shared" si="42"/>
        <v>4.1695109630560827</v>
      </c>
      <c r="AG73">
        <f t="shared" si="50"/>
        <v>3.9010239467001897</v>
      </c>
      <c r="AH73">
        <f t="shared" si="51"/>
        <v>3.6832949264371279E-2</v>
      </c>
      <c r="AI73" s="2">
        <f t="shared" si="53"/>
        <v>0.36832949264371279</v>
      </c>
      <c r="AJ73">
        <v>10</v>
      </c>
      <c r="AK73">
        <f t="shared" si="55"/>
        <v>3.6832949264371279E-2</v>
      </c>
      <c r="AL73">
        <f t="shared" si="52"/>
        <v>3.6832949264371277E-3</v>
      </c>
    </row>
    <row r="74" spans="1:39" x14ac:dyDescent="0.2">
      <c r="A74" t="s">
        <v>44</v>
      </c>
      <c r="B74">
        <v>2023</v>
      </c>
      <c r="C74">
        <f t="shared" si="33"/>
        <v>2</v>
      </c>
      <c r="D74">
        <v>4</v>
      </c>
      <c r="E74">
        <v>1</v>
      </c>
      <c r="F74" t="s">
        <v>41</v>
      </c>
      <c r="G74">
        <v>50</v>
      </c>
      <c r="H74">
        <v>23.5</v>
      </c>
      <c r="I74">
        <f t="shared" si="43"/>
        <v>0.47</v>
      </c>
      <c r="K74">
        <v>4</v>
      </c>
      <c r="M74">
        <v>32</v>
      </c>
      <c r="N74">
        <v>1.855</v>
      </c>
      <c r="O74">
        <v>32.082000000000001</v>
      </c>
      <c r="P74">
        <f t="shared" si="39"/>
        <v>30.227</v>
      </c>
      <c r="Q74">
        <v>23.902000000000001</v>
      </c>
      <c r="R74">
        <f t="shared" si="40"/>
        <v>22.047000000000001</v>
      </c>
      <c r="S74">
        <f t="shared" si="44"/>
        <v>8.18</v>
      </c>
      <c r="T74">
        <f t="shared" si="45"/>
        <v>27.061898302841829</v>
      </c>
      <c r="U74">
        <v>2</v>
      </c>
      <c r="V74">
        <v>26.6463</v>
      </c>
      <c r="W74">
        <v>29.828900000000001</v>
      </c>
      <c r="X74">
        <f t="shared" si="46"/>
        <v>3.1826000000000008</v>
      </c>
      <c r="Y74">
        <f t="shared" si="47"/>
        <v>3182.6000000000008</v>
      </c>
      <c r="Z74">
        <v>29.690899999999999</v>
      </c>
      <c r="AA74">
        <f t="shared" si="48"/>
        <v>3.0445999999999991</v>
      </c>
      <c r="AB74">
        <f t="shared" si="41"/>
        <v>3044.599999999999</v>
      </c>
      <c r="AC74">
        <f t="shared" si="49"/>
        <v>138.00000000000182</v>
      </c>
      <c r="AD74">
        <v>1.0202627626905951</v>
      </c>
      <c r="AE74">
        <f t="shared" si="56"/>
        <v>0.4795234984645797</v>
      </c>
      <c r="AF74">
        <f t="shared" si="42"/>
        <v>4.3360774209766157</v>
      </c>
      <c r="AG74">
        <f t="shared" si="50"/>
        <v>3.9609878715515814</v>
      </c>
      <c r="AH74">
        <f t="shared" si="51"/>
        <v>1.8993867615421836E-2</v>
      </c>
      <c r="AI74" s="2">
        <f t="shared" si="53"/>
        <v>0.94969338077109178</v>
      </c>
      <c r="AJ74">
        <v>25</v>
      </c>
      <c r="AK74">
        <f t="shared" si="55"/>
        <v>1.8993867615421836E-2</v>
      </c>
      <c r="AL74">
        <f t="shared" si="52"/>
        <v>7.5975470461687349E-4</v>
      </c>
    </row>
    <row r="75" spans="1:39" x14ac:dyDescent="0.2">
      <c r="A75" t="s">
        <v>44</v>
      </c>
      <c r="B75">
        <v>2023</v>
      </c>
      <c r="C75">
        <f t="shared" si="33"/>
        <v>2</v>
      </c>
      <c r="D75">
        <v>4</v>
      </c>
      <c r="E75">
        <v>1</v>
      </c>
      <c r="F75" t="s">
        <v>39</v>
      </c>
      <c r="G75">
        <v>25</v>
      </c>
      <c r="H75">
        <v>14</v>
      </c>
      <c r="I75">
        <f t="shared" si="43"/>
        <v>0.56000000000000005</v>
      </c>
      <c r="K75">
        <v>4</v>
      </c>
      <c r="M75">
        <v>33</v>
      </c>
      <c r="N75">
        <v>1.82</v>
      </c>
      <c r="O75">
        <v>35.091999999999999</v>
      </c>
      <c r="P75">
        <f t="shared" si="39"/>
        <v>33.271999999999998</v>
      </c>
      <c r="Q75">
        <v>25.937999999999999</v>
      </c>
      <c r="R75">
        <f t="shared" si="40"/>
        <v>24.117999999999999</v>
      </c>
      <c r="S75">
        <f t="shared" si="44"/>
        <v>9.1539999999999999</v>
      </c>
      <c r="T75">
        <f t="shared" si="45"/>
        <v>27.512623226737198</v>
      </c>
      <c r="U75">
        <v>21</v>
      </c>
      <c r="V75">
        <v>31.08</v>
      </c>
      <c r="W75">
        <v>33.904600000000002</v>
      </c>
      <c r="X75">
        <f t="shared" si="46"/>
        <v>2.8246000000000038</v>
      </c>
      <c r="Y75">
        <f t="shared" si="47"/>
        <v>2824.600000000004</v>
      </c>
      <c r="Z75">
        <v>33.773000000000003</v>
      </c>
      <c r="AA75">
        <f t="shared" si="48"/>
        <v>2.6930000000000049</v>
      </c>
      <c r="AB75">
        <f t="shared" si="41"/>
        <v>2693.000000000005</v>
      </c>
      <c r="AC75">
        <f t="shared" si="49"/>
        <v>131.599999999999</v>
      </c>
      <c r="AD75">
        <v>0.75469284577388129</v>
      </c>
      <c r="AE75">
        <f t="shared" si="56"/>
        <v>0.42262799363337356</v>
      </c>
      <c r="AF75">
        <f t="shared" si="42"/>
        <v>4.6590667705161373</v>
      </c>
      <c r="AG75">
        <f t="shared" si="50"/>
        <v>4.0772640373858096</v>
      </c>
      <c r="AH75">
        <f t="shared" si="51"/>
        <v>1.723165919633873E-2</v>
      </c>
      <c r="AI75" s="2">
        <f t="shared" si="53"/>
        <v>0.43079147990846822</v>
      </c>
      <c r="AJ75">
        <v>15</v>
      </c>
      <c r="AK75">
        <f t="shared" si="55"/>
        <v>1.723165919633873E-2</v>
      </c>
      <c r="AL75">
        <f t="shared" si="52"/>
        <v>1.1487772797559154E-3</v>
      </c>
    </row>
    <row r="76" spans="1:39" x14ac:dyDescent="0.2">
      <c r="A76" t="s">
        <v>44</v>
      </c>
      <c r="B76">
        <v>2023</v>
      </c>
      <c r="C76">
        <f t="shared" si="33"/>
        <v>2</v>
      </c>
      <c r="D76">
        <v>4</v>
      </c>
      <c r="E76">
        <v>1</v>
      </c>
      <c r="F76" t="s">
        <v>40</v>
      </c>
      <c r="G76">
        <v>10</v>
      </c>
      <c r="H76">
        <v>9.5</v>
      </c>
      <c r="I76">
        <f t="shared" si="43"/>
        <v>0.95</v>
      </c>
      <c r="K76">
        <v>4</v>
      </c>
      <c r="M76">
        <v>34</v>
      </c>
      <c r="N76">
        <v>1.841</v>
      </c>
      <c r="O76">
        <v>30.939</v>
      </c>
      <c r="P76">
        <f t="shared" si="39"/>
        <v>29.097999999999999</v>
      </c>
      <c r="Q76">
        <v>22.206</v>
      </c>
      <c r="R76">
        <f t="shared" si="40"/>
        <v>20.364999999999998</v>
      </c>
      <c r="S76">
        <f t="shared" si="44"/>
        <v>8.7330000000000005</v>
      </c>
      <c r="T76">
        <f t="shared" si="45"/>
        <v>30.012371984328823</v>
      </c>
      <c r="U76">
        <v>19</v>
      </c>
      <c r="V76">
        <v>28.572099999999999</v>
      </c>
      <c r="W76">
        <v>31.862200000000001</v>
      </c>
      <c r="X76">
        <f t="shared" si="46"/>
        <v>3.2901000000000025</v>
      </c>
      <c r="Y76">
        <f t="shared" si="47"/>
        <v>3290.1000000000026</v>
      </c>
      <c r="Z76">
        <v>31.681899999999999</v>
      </c>
      <c r="AA76">
        <f t="shared" si="48"/>
        <v>3.1097999999999999</v>
      </c>
      <c r="AB76">
        <f t="shared" si="41"/>
        <v>3109.7999999999997</v>
      </c>
      <c r="AC76">
        <f t="shared" si="49"/>
        <v>180.30000000000291</v>
      </c>
      <c r="AD76">
        <v>0.94418669989266912</v>
      </c>
      <c r="AE76">
        <f t="shared" si="56"/>
        <v>0.89697736489803559</v>
      </c>
      <c r="AF76">
        <f t="shared" si="42"/>
        <v>5.4800765934166975</v>
      </c>
      <c r="AG76">
        <f t="shared" si="50"/>
        <v>4.3728275736300111</v>
      </c>
      <c r="AH76">
        <f t="shared" si="51"/>
        <v>3.9223273541481175E-2</v>
      </c>
      <c r="AI76" s="2">
        <f t="shared" si="53"/>
        <v>0.39223273541481174</v>
      </c>
      <c r="AJ76">
        <v>10</v>
      </c>
      <c r="AK76">
        <f t="shared" si="55"/>
        <v>3.9223273541481175E-2</v>
      </c>
      <c r="AL76">
        <f t="shared" si="52"/>
        <v>3.9223273541481177E-3</v>
      </c>
    </row>
    <row r="77" spans="1:39" x14ac:dyDescent="0.2">
      <c r="A77" t="s">
        <v>44</v>
      </c>
      <c r="B77">
        <v>2023</v>
      </c>
      <c r="C77">
        <f t="shared" si="33"/>
        <v>2</v>
      </c>
      <c r="D77">
        <v>4</v>
      </c>
      <c r="E77">
        <v>2</v>
      </c>
      <c r="F77" t="s">
        <v>41</v>
      </c>
      <c r="G77">
        <v>50</v>
      </c>
      <c r="H77">
        <v>19</v>
      </c>
      <c r="I77">
        <f t="shared" si="43"/>
        <v>0.38</v>
      </c>
      <c r="K77">
        <v>4</v>
      </c>
      <c r="M77">
        <v>4</v>
      </c>
      <c r="N77">
        <v>1.85</v>
      </c>
      <c r="O77">
        <v>37.363999999999997</v>
      </c>
      <c r="P77">
        <f t="shared" si="39"/>
        <v>35.513999999999996</v>
      </c>
      <c r="Q77">
        <v>28.161999999999999</v>
      </c>
      <c r="R77">
        <f t="shared" si="40"/>
        <v>26.311999999999998</v>
      </c>
      <c r="S77">
        <f t="shared" si="44"/>
        <v>9.2019999999999982</v>
      </c>
      <c r="T77">
        <f t="shared" si="45"/>
        <v>25.9109083741623</v>
      </c>
      <c r="U77">
        <v>4</v>
      </c>
      <c r="V77">
        <v>27.7805</v>
      </c>
      <c r="W77">
        <v>31.3993</v>
      </c>
      <c r="X77">
        <f t="shared" si="46"/>
        <v>3.6188000000000002</v>
      </c>
      <c r="Y77">
        <f t="shared" si="47"/>
        <v>3618.8</v>
      </c>
      <c r="Z77">
        <v>31.238</v>
      </c>
      <c r="AA77">
        <f t="shared" si="48"/>
        <v>3.4574999999999996</v>
      </c>
      <c r="AB77">
        <f t="shared" si="41"/>
        <v>3457.4999999999995</v>
      </c>
      <c r="AC77">
        <f t="shared" si="49"/>
        <v>161.30000000000064</v>
      </c>
      <c r="AD77">
        <v>1.0202627626905951</v>
      </c>
      <c r="AE77">
        <f t="shared" si="56"/>
        <v>0.38769984982242617</v>
      </c>
      <c r="AF77">
        <f t="shared" si="42"/>
        <v>4.4572786559080537</v>
      </c>
      <c r="AG77">
        <f t="shared" si="50"/>
        <v>4.0046203161268989</v>
      </c>
      <c r="AH77">
        <f t="shared" si="51"/>
        <v>1.5525906951582354E-2</v>
      </c>
      <c r="AI77" s="2">
        <f t="shared" si="53"/>
        <v>0.77629534757911767</v>
      </c>
      <c r="AJ77">
        <v>25</v>
      </c>
      <c r="AK77">
        <f t="shared" si="55"/>
        <v>1.5525906951582354E-2</v>
      </c>
      <c r="AL77">
        <f t="shared" si="52"/>
        <v>6.2103627806329412E-4</v>
      </c>
      <c r="AM77" t="s">
        <v>48</v>
      </c>
    </row>
    <row r="78" spans="1:39" x14ac:dyDescent="0.2">
      <c r="A78" t="s">
        <v>44</v>
      </c>
      <c r="B78">
        <v>2023</v>
      </c>
      <c r="C78">
        <f t="shared" si="33"/>
        <v>2</v>
      </c>
      <c r="D78">
        <v>4</v>
      </c>
      <c r="E78">
        <v>2</v>
      </c>
      <c r="F78" t="s">
        <v>39</v>
      </c>
      <c r="G78">
        <v>25</v>
      </c>
      <c r="H78">
        <v>17</v>
      </c>
      <c r="I78">
        <f t="shared" si="43"/>
        <v>0.68</v>
      </c>
      <c r="K78">
        <v>4</v>
      </c>
      <c r="L78">
        <v>25.632999999999999</v>
      </c>
      <c r="M78">
        <v>35</v>
      </c>
      <c r="N78">
        <v>1.827</v>
      </c>
      <c r="O78">
        <v>31.878</v>
      </c>
      <c r="P78">
        <f t="shared" si="39"/>
        <v>30.051000000000002</v>
      </c>
      <c r="Q78">
        <v>25.617000000000001</v>
      </c>
      <c r="R78">
        <f t="shared" si="40"/>
        <v>23.79</v>
      </c>
      <c r="S78">
        <f t="shared" si="44"/>
        <v>6.2610000000000028</v>
      </c>
      <c r="T78">
        <f t="shared" si="45"/>
        <v>20.83458121193971</v>
      </c>
      <c r="U78">
        <v>12</v>
      </c>
      <c r="V78">
        <v>29.422499999999999</v>
      </c>
      <c r="W78">
        <v>32.679400000000001</v>
      </c>
      <c r="X78">
        <f t="shared" si="46"/>
        <v>3.2569000000000017</v>
      </c>
      <c r="Y78">
        <f t="shared" si="47"/>
        <v>3256.9000000000015</v>
      </c>
      <c r="Z78">
        <v>32.562399999999997</v>
      </c>
      <c r="AA78">
        <f t="shared" si="48"/>
        <v>3.1398999999999972</v>
      </c>
      <c r="AB78">
        <f t="shared" si="41"/>
        <v>3139.8999999999974</v>
      </c>
      <c r="AC78">
        <f t="shared" si="49"/>
        <v>117.00000000000409</v>
      </c>
      <c r="AD78">
        <v>0.75469284577388129</v>
      </c>
      <c r="AE78">
        <f t="shared" si="56"/>
        <v>0.51319113512623926</v>
      </c>
      <c r="AF78">
        <f t="shared" si="42"/>
        <v>3.5923731155394405</v>
      </c>
      <c r="AG78">
        <f t="shared" si="50"/>
        <v>3.6932543215941984</v>
      </c>
      <c r="AH78">
        <f t="shared" si="51"/>
        <v>1.8953453776088154E-2</v>
      </c>
      <c r="AI78" s="2">
        <f t="shared" si="53"/>
        <v>0.47383634440220385</v>
      </c>
      <c r="AJ78">
        <v>15</v>
      </c>
      <c r="AK78">
        <f t="shared" si="55"/>
        <v>1.8953453776088154E-2</v>
      </c>
      <c r="AL78">
        <f t="shared" si="52"/>
        <v>1.2635635850725437E-3</v>
      </c>
    </row>
    <row r="79" spans="1:39" x14ac:dyDescent="0.2">
      <c r="A79" t="s">
        <v>44</v>
      </c>
      <c r="B79">
        <v>2023</v>
      </c>
      <c r="C79">
        <f t="shared" si="33"/>
        <v>2</v>
      </c>
      <c r="D79">
        <v>4</v>
      </c>
      <c r="E79">
        <v>2</v>
      </c>
      <c r="F79" t="s">
        <v>40</v>
      </c>
      <c r="G79">
        <v>10</v>
      </c>
      <c r="H79">
        <v>9.5</v>
      </c>
      <c r="I79">
        <f t="shared" si="43"/>
        <v>0.95</v>
      </c>
      <c r="K79">
        <v>5.2</v>
      </c>
      <c r="M79">
        <v>36</v>
      </c>
      <c r="N79">
        <v>1.8460000000000001</v>
      </c>
      <c r="O79">
        <v>32.040999999999997</v>
      </c>
      <c r="P79">
        <f t="shared" si="39"/>
        <v>30.194999999999997</v>
      </c>
      <c r="Q79">
        <v>25.934999999999999</v>
      </c>
      <c r="R79">
        <f t="shared" si="40"/>
        <v>24.088999999999999</v>
      </c>
      <c r="S79">
        <f t="shared" si="44"/>
        <v>6.1059999999999981</v>
      </c>
      <c r="T79">
        <f t="shared" si="45"/>
        <v>20.221891041563168</v>
      </c>
      <c r="U79">
        <v>8</v>
      </c>
      <c r="V79">
        <v>27.3459</v>
      </c>
      <c r="W79">
        <v>30.949200000000001</v>
      </c>
      <c r="X79">
        <f t="shared" si="46"/>
        <v>3.6033000000000008</v>
      </c>
      <c r="Y79">
        <f t="shared" si="47"/>
        <v>3603.3000000000006</v>
      </c>
      <c r="Z79">
        <v>30.819600000000001</v>
      </c>
      <c r="AA79">
        <f t="shared" si="48"/>
        <v>3.4737000000000009</v>
      </c>
      <c r="AB79">
        <f t="shared" si="41"/>
        <v>3473.7000000000007</v>
      </c>
      <c r="AC79">
        <f t="shared" si="49"/>
        <v>129.59999999999991</v>
      </c>
      <c r="AD79">
        <v>0.94418669989266912</v>
      </c>
      <c r="AE79">
        <f t="shared" si="56"/>
        <v>0.89697736489803559</v>
      </c>
      <c r="AF79">
        <f t="shared" ref="AF79:AF108" si="57">((Y79-AB79)/Y79)*100</f>
        <v>3.5967030222296201</v>
      </c>
      <c r="AG79">
        <f t="shared" si="50"/>
        <v>3.6948130880026628</v>
      </c>
      <c r="AH79">
        <f t="shared" si="51"/>
        <v>3.3141637074674025E-2</v>
      </c>
      <c r="AI79" s="2">
        <f t="shared" si="53"/>
        <v>0.33141637074674024</v>
      </c>
      <c r="AJ79">
        <v>10</v>
      </c>
      <c r="AK79">
        <f t="shared" si="55"/>
        <v>3.3141637074674025E-2</v>
      </c>
      <c r="AL79">
        <f t="shared" si="52"/>
        <v>3.3141637074674025E-3</v>
      </c>
    </row>
    <row r="80" spans="1:39" x14ac:dyDescent="0.2">
      <c r="A80" t="s">
        <v>44</v>
      </c>
      <c r="B80">
        <v>2023</v>
      </c>
      <c r="C80">
        <f t="shared" si="33"/>
        <v>2</v>
      </c>
      <c r="D80">
        <v>4</v>
      </c>
      <c r="E80">
        <v>3</v>
      </c>
      <c r="F80" t="s">
        <v>41</v>
      </c>
      <c r="G80">
        <v>50</v>
      </c>
      <c r="H80">
        <v>25.5</v>
      </c>
      <c r="I80">
        <f t="shared" si="43"/>
        <v>0.51</v>
      </c>
      <c r="K80">
        <v>4</v>
      </c>
      <c r="L80">
        <v>23.553000000000001</v>
      </c>
      <c r="M80">
        <v>37</v>
      </c>
      <c r="N80">
        <v>1.839</v>
      </c>
      <c r="O80">
        <v>31.936</v>
      </c>
      <c r="P80">
        <f t="shared" si="39"/>
        <v>30.097000000000001</v>
      </c>
      <c r="Q80">
        <v>23.542000000000002</v>
      </c>
      <c r="R80">
        <f t="shared" si="40"/>
        <v>21.703000000000003</v>
      </c>
      <c r="S80">
        <f t="shared" si="44"/>
        <v>8.3939999999999984</v>
      </c>
      <c r="T80">
        <f t="shared" si="45"/>
        <v>27.889822905937461</v>
      </c>
      <c r="U80">
        <v>5</v>
      </c>
      <c r="V80">
        <v>22.167000000000002</v>
      </c>
      <c r="W80">
        <v>24.884899999999998</v>
      </c>
      <c r="X80">
        <f t="shared" si="46"/>
        <v>2.7178999999999967</v>
      </c>
      <c r="Y80">
        <f t="shared" si="47"/>
        <v>2717.8999999999965</v>
      </c>
      <c r="Z80">
        <v>24.738700000000001</v>
      </c>
      <c r="AA80">
        <f t="shared" si="48"/>
        <v>2.5716999999999999</v>
      </c>
      <c r="AB80">
        <f t="shared" si="41"/>
        <v>2571.6999999999998</v>
      </c>
      <c r="AC80">
        <f t="shared" si="49"/>
        <v>146.19999999999663</v>
      </c>
      <c r="AD80">
        <v>1.0202627626905951</v>
      </c>
      <c r="AE80">
        <f t="shared" si="56"/>
        <v>0.5203340089722035</v>
      </c>
      <c r="AF80">
        <f t="shared" si="57"/>
        <v>5.3791530225540614</v>
      </c>
      <c r="AG80">
        <f t="shared" si="50"/>
        <v>4.3364950881194622</v>
      </c>
      <c r="AH80">
        <f t="shared" si="51"/>
        <v>2.2564258740894686E-2</v>
      </c>
      <c r="AI80" s="2">
        <f t="shared" si="53"/>
        <v>1.1282129370447342</v>
      </c>
      <c r="AJ80">
        <v>25</v>
      </c>
      <c r="AK80">
        <f t="shared" si="55"/>
        <v>2.2564258740894686E-2</v>
      </c>
      <c r="AL80">
        <f t="shared" si="52"/>
        <v>9.0257034963578744E-4</v>
      </c>
    </row>
    <row r="81" spans="1:39" x14ac:dyDescent="0.2">
      <c r="A81" t="s">
        <v>44</v>
      </c>
      <c r="B81">
        <v>2023</v>
      </c>
      <c r="C81">
        <f t="shared" si="33"/>
        <v>2</v>
      </c>
      <c r="D81">
        <v>4</v>
      </c>
      <c r="E81">
        <v>3</v>
      </c>
      <c r="F81" t="s">
        <v>39</v>
      </c>
      <c r="G81">
        <v>25</v>
      </c>
      <c r="H81">
        <v>17</v>
      </c>
      <c r="I81">
        <f t="shared" si="43"/>
        <v>0.68</v>
      </c>
      <c r="K81">
        <v>4</v>
      </c>
      <c r="M81">
        <v>38</v>
      </c>
      <c r="N81">
        <v>1.857</v>
      </c>
      <c r="O81">
        <v>34.177</v>
      </c>
      <c r="P81">
        <f t="shared" si="39"/>
        <v>32.32</v>
      </c>
      <c r="Q81">
        <v>26.033000000000001</v>
      </c>
      <c r="R81">
        <f t="shared" si="40"/>
        <v>24.176000000000002</v>
      </c>
      <c r="S81">
        <f t="shared" si="44"/>
        <v>8.1439999999999984</v>
      </c>
      <c r="T81">
        <f t="shared" si="45"/>
        <v>25.198019801980191</v>
      </c>
      <c r="U81">
        <v>1</v>
      </c>
      <c r="V81">
        <v>27.968399999999999</v>
      </c>
      <c r="W81">
        <v>31.917200000000001</v>
      </c>
      <c r="X81">
        <f t="shared" si="46"/>
        <v>3.9488000000000021</v>
      </c>
      <c r="Y81">
        <f t="shared" si="47"/>
        <v>3948.800000000002</v>
      </c>
      <c r="Z81">
        <v>31.743400000000001</v>
      </c>
      <c r="AA81">
        <f t="shared" si="48"/>
        <v>3.7750000000000021</v>
      </c>
      <c r="AB81">
        <f t="shared" si="41"/>
        <v>3775.0000000000023</v>
      </c>
      <c r="AC81">
        <f t="shared" si="49"/>
        <v>173.79999999999973</v>
      </c>
      <c r="AD81">
        <v>0.75469284577388129</v>
      </c>
      <c r="AE81">
        <f t="shared" si="56"/>
        <v>0.51319113512623926</v>
      </c>
      <c r="AF81">
        <f t="shared" si="57"/>
        <v>4.4013371150729244</v>
      </c>
      <c r="AG81">
        <f t="shared" si="50"/>
        <v>3.9844813614262526</v>
      </c>
      <c r="AH81">
        <f t="shared" si="51"/>
        <v>2.044800512759682E-2</v>
      </c>
      <c r="AI81" s="2">
        <f t="shared" si="53"/>
        <v>0.51120012818992056</v>
      </c>
      <c r="AJ81">
        <v>15</v>
      </c>
      <c r="AK81">
        <f t="shared" si="55"/>
        <v>2.044800512759682E-2</v>
      </c>
      <c r="AL81">
        <f t="shared" si="52"/>
        <v>1.363200341839788E-3</v>
      </c>
    </row>
    <row r="82" spans="1:39" x14ac:dyDescent="0.2">
      <c r="A82" t="s">
        <v>44</v>
      </c>
      <c r="B82">
        <v>2023</v>
      </c>
      <c r="C82">
        <f t="shared" si="33"/>
        <v>2</v>
      </c>
      <c r="D82">
        <v>4</v>
      </c>
      <c r="E82">
        <v>3</v>
      </c>
      <c r="F82" t="s">
        <v>40</v>
      </c>
      <c r="G82">
        <v>10</v>
      </c>
      <c r="H82">
        <v>7</v>
      </c>
      <c r="I82">
        <f t="shared" si="43"/>
        <v>0.7</v>
      </c>
      <c r="K82">
        <v>5.2</v>
      </c>
      <c r="L82">
        <v>23.466999999999999</v>
      </c>
      <c r="M82">
        <v>39</v>
      </c>
      <c r="N82">
        <v>1.8360000000000001</v>
      </c>
      <c r="O82">
        <v>34.142000000000003</v>
      </c>
      <c r="P82">
        <f t="shared" si="39"/>
        <v>32.306000000000004</v>
      </c>
      <c r="Q82">
        <v>25.94</v>
      </c>
      <c r="R82">
        <f t="shared" si="40"/>
        <v>24.104000000000003</v>
      </c>
      <c r="S82">
        <f t="shared" si="44"/>
        <v>8.2020000000000017</v>
      </c>
      <c r="T82">
        <f t="shared" si="45"/>
        <v>25.388472729523929</v>
      </c>
      <c r="U82">
        <v>9</v>
      </c>
      <c r="V82">
        <v>30.430700000000002</v>
      </c>
      <c r="W82">
        <v>33.158200000000001</v>
      </c>
      <c r="X82">
        <f t="shared" si="46"/>
        <v>2.7274999999999991</v>
      </c>
      <c r="Y82">
        <f t="shared" si="47"/>
        <v>2727.4999999999991</v>
      </c>
      <c r="Z82">
        <v>32.988399999999999</v>
      </c>
      <c r="AA82">
        <f t="shared" si="48"/>
        <v>2.557699999999997</v>
      </c>
      <c r="AB82">
        <f t="shared" si="41"/>
        <v>2557.6999999999971</v>
      </c>
      <c r="AC82">
        <f t="shared" si="49"/>
        <v>169.800000000002</v>
      </c>
      <c r="AD82">
        <v>0.94418669989266912</v>
      </c>
      <c r="AE82">
        <f t="shared" si="56"/>
        <v>0.66093068992486836</v>
      </c>
      <c r="AF82">
        <f t="shared" si="57"/>
        <v>6.2254812098992511</v>
      </c>
      <c r="AG82">
        <f t="shared" si="50"/>
        <v>4.6411732355637305</v>
      </c>
      <c r="AH82">
        <f t="shared" si="51"/>
        <v>3.0674938286419703E-2</v>
      </c>
      <c r="AI82" s="2">
        <f t="shared" si="53"/>
        <v>0.30674938286419701</v>
      </c>
      <c r="AJ82">
        <v>10</v>
      </c>
      <c r="AK82">
        <f t="shared" si="55"/>
        <v>3.0674938286419703E-2</v>
      </c>
      <c r="AL82">
        <f t="shared" si="52"/>
        <v>3.0674938286419703E-3</v>
      </c>
    </row>
    <row r="83" spans="1:39" x14ac:dyDescent="0.2">
      <c r="A83" t="s">
        <v>49</v>
      </c>
      <c r="B83">
        <v>2021</v>
      </c>
      <c r="C83">
        <f>2025-B83</f>
        <v>4</v>
      </c>
      <c r="D83">
        <v>1</v>
      </c>
      <c r="E83">
        <v>1</v>
      </c>
      <c r="F83" t="s">
        <v>38</v>
      </c>
      <c r="G83">
        <v>50</v>
      </c>
      <c r="H83">
        <v>21.5</v>
      </c>
      <c r="I83">
        <f t="shared" si="43"/>
        <v>0.43</v>
      </c>
      <c r="K83">
        <v>4</v>
      </c>
      <c r="M83">
        <v>49</v>
      </c>
      <c r="N83">
        <v>1.855</v>
      </c>
      <c r="O83">
        <v>34.601999999999997</v>
      </c>
      <c r="P83">
        <f t="shared" si="39"/>
        <v>32.747</v>
      </c>
      <c r="Q83">
        <v>21.829000000000001</v>
      </c>
      <c r="R83">
        <f t="shared" si="40"/>
        <v>19.974</v>
      </c>
      <c r="S83">
        <f>P83-R83</f>
        <v>12.773</v>
      </c>
      <c r="T83" s="4">
        <f>((P83-R83)/P83)*100</f>
        <v>39.005099703789661</v>
      </c>
      <c r="U83">
        <v>2</v>
      </c>
      <c r="V83">
        <v>26.6462</v>
      </c>
      <c r="W83">
        <v>29.134499999999999</v>
      </c>
      <c r="X83">
        <f>W83-V83</f>
        <v>2.4882999999999988</v>
      </c>
      <c r="Y83">
        <f>X83*1000</f>
        <v>2488.2999999999988</v>
      </c>
      <c r="Z83">
        <v>28.999700000000001</v>
      </c>
      <c r="AA83">
        <f>Z83-V83</f>
        <v>2.3535000000000004</v>
      </c>
      <c r="AB83">
        <f t="shared" si="41"/>
        <v>2353.5000000000005</v>
      </c>
      <c r="AC83">
        <f>Y83-AB83</f>
        <v>134.79999999999836</v>
      </c>
      <c r="AD83">
        <v>0.91301222541454419</v>
      </c>
      <c r="AE83">
        <f t="shared" si="56"/>
        <v>0.39259525692825398</v>
      </c>
      <c r="AF83">
        <f t="shared" si="57"/>
        <v>5.4173532130369502</v>
      </c>
      <c r="AG83">
        <f>0.36*AF83+2.4</f>
        <v>4.3502471566933014</v>
      </c>
      <c r="AH83">
        <f>AE83*(AG83/100)</f>
        <v>1.7078864001834129E-2</v>
      </c>
      <c r="AI83" s="2">
        <f t="shared" si="53"/>
        <v>0.85394320009170643</v>
      </c>
      <c r="AJ83">
        <v>25</v>
      </c>
      <c r="AK83">
        <f>AI83-(AK84+AK85)</f>
        <v>-8.0154433517207968E-2</v>
      </c>
      <c r="AL83">
        <f>AK83/AJ83</f>
        <v>-3.2061773406883189E-3</v>
      </c>
    </row>
    <row r="84" spans="1:39" x14ac:dyDescent="0.2">
      <c r="A84" t="s">
        <v>49</v>
      </c>
      <c r="B84">
        <v>2021</v>
      </c>
      <c r="C84">
        <f t="shared" ref="C84:C100" si="58">2025-B84</f>
        <v>4</v>
      </c>
      <c r="D84">
        <v>1</v>
      </c>
      <c r="E84">
        <v>1</v>
      </c>
      <c r="F84" t="s">
        <v>39</v>
      </c>
      <c r="G84">
        <v>25</v>
      </c>
      <c r="H84">
        <v>18</v>
      </c>
      <c r="I84">
        <f t="shared" si="43"/>
        <v>0.72</v>
      </c>
      <c r="K84">
        <v>4</v>
      </c>
      <c r="M84">
        <v>50</v>
      </c>
      <c r="N84">
        <v>1.915</v>
      </c>
      <c r="O84">
        <v>31.771999999999998</v>
      </c>
      <c r="P84">
        <f t="shared" si="39"/>
        <v>29.856999999999999</v>
      </c>
      <c r="Q84">
        <v>19.084</v>
      </c>
      <c r="R84">
        <f t="shared" si="40"/>
        <v>17.169</v>
      </c>
      <c r="S84">
        <f t="shared" ref="S84:S100" si="59">P84-R84</f>
        <v>12.687999999999999</v>
      </c>
      <c r="T84" s="4">
        <f t="shared" ref="T84:T100" si="60">((P84-R84)/P84)*100</f>
        <v>42.49589710955555</v>
      </c>
      <c r="U84">
        <v>7</v>
      </c>
      <c r="V84">
        <v>27.354099999999999</v>
      </c>
      <c r="W84">
        <v>29.940999999999999</v>
      </c>
      <c r="X84">
        <f t="shared" ref="X84:X100" si="61">W84-V84</f>
        <v>2.5869</v>
      </c>
      <c r="Y84">
        <f t="shared" ref="Y84:Y100" si="62">X84*1000</f>
        <v>2586.9</v>
      </c>
      <c r="Z84">
        <v>29.729900000000001</v>
      </c>
      <c r="AA84">
        <f t="shared" ref="AA84:AA100" si="63">Z84-V84</f>
        <v>2.3758000000000017</v>
      </c>
      <c r="AB84">
        <f t="shared" si="41"/>
        <v>2375.8000000000015</v>
      </c>
      <c r="AC84">
        <f t="shared" ref="AC84:AC100" si="64">Y84-AB84</f>
        <v>211.09999999999854</v>
      </c>
      <c r="AD84">
        <v>0.97221786424472922</v>
      </c>
      <c r="AE84">
        <f t="shared" si="56"/>
        <v>0.69999686225620505</v>
      </c>
      <c r="AF84">
        <f t="shared" si="57"/>
        <v>8.1603463605086599</v>
      </c>
      <c r="AG84">
        <f t="shared" ref="AG84:AG100" si="65">0.36*AF84+2.4</f>
        <v>5.3377246897831174</v>
      </c>
      <c r="AH84">
        <f t="shared" ref="AH84:AH100" si="66">AE84*(AG84/100)</f>
        <v>3.7363905344356574E-2</v>
      </c>
      <c r="AI84" s="2">
        <f t="shared" si="53"/>
        <v>0.9340976336089144</v>
      </c>
      <c r="AJ84">
        <v>15</v>
      </c>
      <c r="AK84">
        <f>AI84-AI85</f>
        <v>0.67755573245955814</v>
      </c>
      <c r="AL84">
        <f t="shared" ref="AL84:AL100" si="67">AK84/AJ84</f>
        <v>4.5170382163970541E-2</v>
      </c>
    </row>
    <row r="85" spans="1:39" x14ac:dyDescent="0.2">
      <c r="A85" t="s">
        <v>49</v>
      </c>
      <c r="B85">
        <v>2021</v>
      </c>
      <c r="C85">
        <f t="shared" si="58"/>
        <v>4</v>
      </c>
      <c r="D85">
        <v>1</v>
      </c>
      <c r="E85">
        <v>1</v>
      </c>
      <c r="F85" t="s">
        <v>40</v>
      </c>
      <c r="G85">
        <v>10</v>
      </c>
      <c r="H85">
        <v>5.5</v>
      </c>
      <c r="I85">
        <f t="shared" si="43"/>
        <v>0.55000000000000004</v>
      </c>
      <c r="K85">
        <v>4</v>
      </c>
      <c r="M85">
        <v>51</v>
      </c>
      <c r="N85">
        <v>1.905</v>
      </c>
      <c r="O85">
        <v>30.744</v>
      </c>
      <c r="P85">
        <f t="shared" si="39"/>
        <v>28.838999999999999</v>
      </c>
      <c r="Q85">
        <v>19.95</v>
      </c>
      <c r="R85">
        <f t="shared" si="40"/>
        <v>18.044999999999998</v>
      </c>
      <c r="S85">
        <f t="shared" si="59"/>
        <v>10.794</v>
      </c>
      <c r="T85" s="4">
        <f t="shared" si="60"/>
        <v>37.428482263601374</v>
      </c>
      <c r="U85">
        <v>19</v>
      </c>
      <c r="V85">
        <v>28.572199999999999</v>
      </c>
      <c r="W85">
        <v>31.6721</v>
      </c>
      <c r="X85">
        <f t="shared" si="61"/>
        <v>3.0999000000000017</v>
      </c>
      <c r="Y85">
        <f t="shared" si="62"/>
        <v>3099.9000000000015</v>
      </c>
      <c r="Z85">
        <v>31.480699999999999</v>
      </c>
      <c r="AA85">
        <f t="shared" si="63"/>
        <v>2.9085000000000001</v>
      </c>
      <c r="AB85">
        <f t="shared" si="41"/>
        <v>2908.5</v>
      </c>
      <c r="AC85">
        <f t="shared" si="64"/>
        <v>191.40000000000146</v>
      </c>
      <c r="AD85">
        <v>1.0090025504668434</v>
      </c>
      <c r="AE85">
        <f t="shared" si="56"/>
        <v>0.55495140275676391</v>
      </c>
      <c r="AF85">
        <f t="shared" si="57"/>
        <v>6.1743927223459263</v>
      </c>
      <c r="AG85">
        <f t="shared" si="65"/>
        <v>4.6227813800445334</v>
      </c>
      <c r="AH85">
        <f t="shared" si="66"/>
        <v>2.5654190114935627E-2</v>
      </c>
      <c r="AI85" s="2">
        <f t="shared" si="53"/>
        <v>0.25654190114935627</v>
      </c>
      <c r="AJ85">
        <v>10</v>
      </c>
      <c r="AK85">
        <f>AI85</f>
        <v>0.25654190114935627</v>
      </c>
      <c r="AL85">
        <f t="shared" si="67"/>
        <v>2.5654190114935627E-2</v>
      </c>
    </row>
    <row r="86" spans="1:39" x14ac:dyDescent="0.2">
      <c r="A86" t="s">
        <v>49</v>
      </c>
      <c r="B86">
        <v>2021</v>
      </c>
      <c r="C86">
        <f t="shared" si="58"/>
        <v>4</v>
      </c>
      <c r="D86">
        <v>1</v>
      </c>
      <c r="E86">
        <v>2</v>
      </c>
      <c r="F86" s="3" t="s">
        <v>41</v>
      </c>
      <c r="G86">
        <v>50</v>
      </c>
      <c r="H86">
        <v>16</v>
      </c>
      <c r="I86">
        <f t="shared" si="43"/>
        <v>0.32</v>
      </c>
      <c r="K86">
        <v>4</v>
      </c>
      <c r="M86">
        <v>52</v>
      </c>
      <c r="N86">
        <v>1.887</v>
      </c>
      <c r="O86">
        <v>35.707999999999998</v>
      </c>
      <c r="P86">
        <f t="shared" si="39"/>
        <v>33.820999999999998</v>
      </c>
      <c r="Q86">
        <v>18.652999999999999</v>
      </c>
      <c r="R86">
        <f t="shared" si="40"/>
        <v>16.765999999999998</v>
      </c>
      <c r="S86">
        <f t="shared" si="59"/>
        <v>17.055</v>
      </c>
      <c r="T86" s="4">
        <f t="shared" si="60"/>
        <v>50.427249342124711</v>
      </c>
      <c r="U86">
        <v>20</v>
      </c>
      <c r="V86">
        <v>28.529900000000001</v>
      </c>
      <c r="W86">
        <v>30.9969</v>
      </c>
      <c r="X86">
        <f t="shared" si="61"/>
        <v>2.4669999999999987</v>
      </c>
      <c r="Y86">
        <f t="shared" si="62"/>
        <v>2466.9999999999986</v>
      </c>
      <c r="Z86">
        <v>30.797000000000001</v>
      </c>
      <c r="AA86">
        <f t="shared" si="63"/>
        <v>2.2670999999999992</v>
      </c>
      <c r="AB86">
        <f t="shared" si="41"/>
        <v>2267.0999999999995</v>
      </c>
      <c r="AC86">
        <f t="shared" si="64"/>
        <v>199.89999999999918</v>
      </c>
      <c r="AD86">
        <v>0.91301222541454419</v>
      </c>
      <c r="AE86">
        <f t="shared" si="56"/>
        <v>0.29216391213265414</v>
      </c>
      <c r="AF86">
        <f t="shared" si="57"/>
        <v>8.1029590595865137</v>
      </c>
      <c r="AG86">
        <f t="shared" si="65"/>
        <v>5.3170652614511447</v>
      </c>
      <c r="AH86">
        <f t="shared" si="66"/>
        <v>1.5534545878501999E-2</v>
      </c>
      <c r="AI86" s="2">
        <f t="shared" si="53"/>
        <v>0.77672729392509998</v>
      </c>
      <c r="AJ86">
        <v>25</v>
      </c>
      <c r="AK86">
        <f>AI86-(AK87+AK88)</f>
        <v>0.12375113857685727</v>
      </c>
      <c r="AL86">
        <f t="shared" si="67"/>
        <v>4.9500455430742905E-3</v>
      </c>
    </row>
    <row r="87" spans="1:39" x14ac:dyDescent="0.2">
      <c r="A87" t="s">
        <v>49</v>
      </c>
      <c r="B87">
        <v>2021</v>
      </c>
      <c r="C87">
        <f t="shared" si="58"/>
        <v>4</v>
      </c>
      <c r="D87">
        <v>1</v>
      </c>
      <c r="E87">
        <v>2</v>
      </c>
      <c r="F87" t="s">
        <v>39</v>
      </c>
      <c r="G87">
        <v>25</v>
      </c>
      <c r="H87">
        <v>13</v>
      </c>
      <c r="I87">
        <f t="shared" si="43"/>
        <v>0.52</v>
      </c>
      <c r="K87">
        <v>4</v>
      </c>
      <c r="M87">
        <v>53</v>
      </c>
      <c r="N87">
        <v>1.887</v>
      </c>
      <c r="O87">
        <v>36.011000000000003</v>
      </c>
      <c r="P87">
        <f t="shared" si="39"/>
        <v>34.124000000000002</v>
      </c>
      <c r="Q87">
        <v>20.709</v>
      </c>
      <c r="R87">
        <f t="shared" si="40"/>
        <v>18.821999999999999</v>
      </c>
      <c r="S87">
        <f t="shared" si="59"/>
        <v>15.302000000000003</v>
      </c>
      <c r="T87" s="4">
        <f t="shared" si="60"/>
        <v>44.842339702262343</v>
      </c>
      <c r="U87">
        <v>12</v>
      </c>
      <c r="V87">
        <v>29.421700000000001</v>
      </c>
      <c r="W87">
        <v>31.990500000000001</v>
      </c>
      <c r="X87">
        <f t="shared" si="61"/>
        <v>2.5687999999999995</v>
      </c>
      <c r="Y87">
        <f t="shared" si="62"/>
        <v>2568.7999999999997</v>
      </c>
      <c r="Z87">
        <v>31.793099999999999</v>
      </c>
      <c r="AA87">
        <f t="shared" si="63"/>
        <v>2.3713999999999977</v>
      </c>
      <c r="AB87">
        <f t="shared" si="41"/>
        <v>2371.3999999999978</v>
      </c>
      <c r="AC87">
        <f t="shared" si="64"/>
        <v>197.40000000000191</v>
      </c>
      <c r="AD87">
        <v>0.97221786424472922</v>
      </c>
      <c r="AE87">
        <f t="shared" si="56"/>
        <v>0.50555328940725919</v>
      </c>
      <c r="AF87">
        <f t="shared" si="57"/>
        <v>7.6845219557770923</v>
      </c>
      <c r="AG87">
        <f t="shared" si="65"/>
        <v>5.1664279040797529</v>
      </c>
      <c r="AH87">
        <f t="shared" si="66"/>
        <v>2.6119046213929711E-2</v>
      </c>
      <c r="AI87" s="2">
        <f t="shared" si="53"/>
        <v>0.65297615534824271</v>
      </c>
      <c r="AJ87">
        <v>15</v>
      </c>
      <c r="AK87">
        <f>AI87-AI88</f>
        <v>0.21366380051956463</v>
      </c>
      <c r="AL87">
        <f t="shared" si="67"/>
        <v>1.4244253367970975E-2</v>
      </c>
    </row>
    <row r="88" spans="1:39" x14ac:dyDescent="0.2">
      <c r="A88" t="s">
        <v>49</v>
      </c>
      <c r="B88">
        <v>2021</v>
      </c>
      <c r="C88">
        <f t="shared" si="58"/>
        <v>4</v>
      </c>
      <c r="D88">
        <v>1</v>
      </c>
      <c r="E88">
        <v>2</v>
      </c>
      <c r="F88" t="s">
        <v>40</v>
      </c>
      <c r="G88">
        <v>10</v>
      </c>
      <c r="H88">
        <v>8.1999999999999993</v>
      </c>
      <c r="I88">
        <f t="shared" si="43"/>
        <v>0.82</v>
      </c>
      <c r="K88">
        <v>4</v>
      </c>
      <c r="M88">
        <v>54</v>
      </c>
      <c r="N88">
        <v>1.881</v>
      </c>
      <c r="O88">
        <v>31.699000000000002</v>
      </c>
      <c r="P88">
        <f t="shared" si="39"/>
        <v>29.818000000000001</v>
      </c>
      <c r="Q88">
        <v>18.521000000000001</v>
      </c>
      <c r="R88">
        <f t="shared" si="40"/>
        <v>16.64</v>
      </c>
      <c r="S88">
        <f t="shared" si="59"/>
        <v>13.178000000000001</v>
      </c>
      <c r="T88" s="4">
        <f t="shared" si="60"/>
        <v>44.194781675498021</v>
      </c>
      <c r="U88">
        <v>14</v>
      </c>
      <c r="V88">
        <v>27.7986</v>
      </c>
      <c r="W88">
        <v>31.584599999999998</v>
      </c>
      <c r="X88">
        <f t="shared" si="61"/>
        <v>3.7859999999999978</v>
      </c>
      <c r="Y88">
        <f t="shared" si="62"/>
        <v>3785.9999999999977</v>
      </c>
      <c r="Z88">
        <v>31.278600000000001</v>
      </c>
      <c r="AA88">
        <f t="shared" si="63"/>
        <v>3.4800000000000004</v>
      </c>
      <c r="AB88">
        <f t="shared" si="41"/>
        <v>3480.0000000000005</v>
      </c>
      <c r="AC88">
        <f t="shared" si="64"/>
        <v>305.99999999999727</v>
      </c>
      <c r="AD88">
        <v>1.0090025504668434</v>
      </c>
      <c r="AE88">
        <f t="shared" si="56"/>
        <v>0.82738209138281149</v>
      </c>
      <c r="AF88">
        <f t="shared" si="57"/>
        <v>8.0824088748018337</v>
      </c>
      <c r="AG88">
        <f t="shared" si="65"/>
        <v>5.30966719492866</v>
      </c>
      <c r="AH88">
        <f t="shared" si="66"/>
        <v>4.3931235482867807E-2</v>
      </c>
      <c r="AI88" s="2">
        <f t="shared" si="53"/>
        <v>0.43931235482867809</v>
      </c>
      <c r="AJ88">
        <v>10</v>
      </c>
      <c r="AK88">
        <f>AI88</f>
        <v>0.43931235482867809</v>
      </c>
      <c r="AL88">
        <f t="shared" si="67"/>
        <v>4.3931235482867807E-2</v>
      </c>
    </row>
    <row r="89" spans="1:39" x14ac:dyDescent="0.2">
      <c r="A89" t="s">
        <v>49</v>
      </c>
      <c r="B89">
        <v>2021</v>
      </c>
      <c r="C89">
        <f t="shared" si="58"/>
        <v>4</v>
      </c>
      <c r="D89">
        <v>1</v>
      </c>
      <c r="E89">
        <v>3</v>
      </c>
      <c r="F89" s="3" t="s">
        <v>41</v>
      </c>
      <c r="G89">
        <v>50</v>
      </c>
      <c r="H89">
        <v>12.5</v>
      </c>
      <c r="I89">
        <f t="shared" si="43"/>
        <v>0.25</v>
      </c>
      <c r="K89">
        <v>4</v>
      </c>
      <c r="M89">
        <v>55</v>
      </c>
      <c r="N89">
        <v>1.895</v>
      </c>
      <c r="O89">
        <v>31.158999999999999</v>
      </c>
      <c r="P89">
        <f t="shared" si="39"/>
        <v>29.263999999999999</v>
      </c>
      <c r="Q89">
        <v>16.481000000000002</v>
      </c>
      <c r="R89">
        <f t="shared" si="40"/>
        <v>14.586000000000002</v>
      </c>
      <c r="S89">
        <f t="shared" si="59"/>
        <v>14.677999999999997</v>
      </c>
      <c r="T89" s="4">
        <f t="shared" si="60"/>
        <v>50.157189721159092</v>
      </c>
      <c r="U89">
        <v>21</v>
      </c>
      <c r="V89">
        <v>31.083500000000001</v>
      </c>
      <c r="W89">
        <v>34.643700000000003</v>
      </c>
      <c r="X89">
        <f t="shared" si="61"/>
        <v>3.5602000000000018</v>
      </c>
      <c r="Y89">
        <f t="shared" si="62"/>
        <v>3560.2000000000016</v>
      </c>
      <c r="Z89">
        <v>34.260800000000003</v>
      </c>
      <c r="AA89">
        <f t="shared" si="63"/>
        <v>3.1773000000000025</v>
      </c>
      <c r="AB89">
        <f t="shared" si="41"/>
        <v>3177.3000000000025</v>
      </c>
      <c r="AC89">
        <f t="shared" si="64"/>
        <v>382.89999999999918</v>
      </c>
      <c r="AD89">
        <v>0.91301222541454419</v>
      </c>
      <c r="AE89">
        <f t="shared" si="56"/>
        <v>0.22825305635363605</v>
      </c>
      <c r="AF89">
        <f t="shared" si="57"/>
        <v>10.755013763271698</v>
      </c>
      <c r="AG89">
        <f t="shared" si="65"/>
        <v>6.271804954777811</v>
      </c>
      <c r="AH89">
        <f t="shared" si="66"/>
        <v>1.4315586497819135E-2</v>
      </c>
      <c r="AI89" s="2">
        <f t="shared" si="53"/>
        <v>0.71577932489095675</v>
      </c>
      <c r="AJ89">
        <v>25</v>
      </c>
      <c r="AK89">
        <f>AI89-(AK90+AK91)</f>
        <v>0.30992857223006032</v>
      </c>
      <c r="AL89">
        <f t="shared" si="67"/>
        <v>1.2397142889202413E-2</v>
      </c>
    </row>
    <row r="90" spans="1:39" x14ac:dyDescent="0.2">
      <c r="A90" t="s">
        <v>49</v>
      </c>
      <c r="B90">
        <v>2021</v>
      </c>
      <c r="C90">
        <f t="shared" si="58"/>
        <v>4</v>
      </c>
      <c r="D90">
        <v>1</v>
      </c>
      <c r="E90">
        <v>3</v>
      </c>
      <c r="F90" t="s">
        <v>39</v>
      </c>
      <c r="G90">
        <v>25</v>
      </c>
      <c r="H90">
        <v>7.5</v>
      </c>
      <c r="I90">
        <f t="shared" si="43"/>
        <v>0.3</v>
      </c>
      <c r="K90">
        <v>4</v>
      </c>
      <c r="M90">
        <v>56</v>
      </c>
      <c r="N90">
        <v>1.873</v>
      </c>
      <c r="O90">
        <v>34.314999999999998</v>
      </c>
      <c r="P90">
        <f t="shared" si="39"/>
        <v>32.442</v>
      </c>
      <c r="Q90">
        <v>18.734999999999999</v>
      </c>
      <c r="R90">
        <f t="shared" si="40"/>
        <v>16.861999999999998</v>
      </c>
      <c r="S90">
        <f t="shared" si="59"/>
        <v>15.580000000000002</v>
      </c>
      <c r="T90" s="4">
        <f t="shared" si="60"/>
        <v>48.024166204303071</v>
      </c>
      <c r="U90">
        <v>13</v>
      </c>
      <c r="V90">
        <v>22.196200000000001</v>
      </c>
      <c r="W90">
        <v>25.899699999999999</v>
      </c>
      <c r="X90">
        <f t="shared" si="61"/>
        <v>3.7034999999999982</v>
      </c>
      <c r="Y90">
        <f t="shared" si="62"/>
        <v>3703.4999999999982</v>
      </c>
      <c r="Z90">
        <v>25.574000000000002</v>
      </c>
      <c r="AA90">
        <f t="shared" si="63"/>
        <v>3.3778000000000006</v>
      </c>
      <c r="AB90">
        <f t="shared" si="41"/>
        <v>3377.8000000000006</v>
      </c>
      <c r="AC90">
        <f t="shared" si="64"/>
        <v>325.69999999999754</v>
      </c>
      <c r="AD90">
        <v>0.97221786424472922</v>
      </c>
      <c r="AE90">
        <f t="shared" si="56"/>
        <v>0.29166535927341875</v>
      </c>
      <c r="AF90">
        <f t="shared" si="57"/>
        <v>8.7943836911029489</v>
      </c>
      <c r="AG90">
        <f t="shared" si="65"/>
        <v>5.5659781287970613</v>
      </c>
      <c r="AH90">
        <f t="shared" si="66"/>
        <v>1.6234030106435857E-2</v>
      </c>
      <c r="AI90" s="2">
        <f t="shared" si="53"/>
        <v>0.40585075266089643</v>
      </c>
      <c r="AJ90">
        <v>15</v>
      </c>
      <c r="AK90">
        <f>AI90-AI91</f>
        <v>-0.16965802016955278</v>
      </c>
      <c r="AL90">
        <f t="shared" si="67"/>
        <v>-1.1310534677970186E-2</v>
      </c>
    </row>
    <row r="91" spans="1:39" x14ac:dyDescent="0.2">
      <c r="A91" t="s">
        <v>49</v>
      </c>
      <c r="B91">
        <v>2021</v>
      </c>
      <c r="C91">
        <f t="shared" si="58"/>
        <v>4</v>
      </c>
      <c r="D91">
        <v>1</v>
      </c>
      <c r="E91">
        <v>3</v>
      </c>
      <c r="F91" t="s">
        <v>40</v>
      </c>
      <c r="G91">
        <v>10</v>
      </c>
      <c r="H91">
        <v>9.3000000000000007</v>
      </c>
      <c r="I91">
        <f t="shared" si="43"/>
        <v>0.93</v>
      </c>
      <c r="K91">
        <v>4</v>
      </c>
      <c r="M91">
        <v>57</v>
      </c>
      <c r="N91">
        <v>1.889</v>
      </c>
      <c r="O91">
        <v>32.064</v>
      </c>
      <c r="P91">
        <f t="shared" si="39"/>
        <v>30.175000000000001</v>
      </c>
      <c r="Q91">
        <v>17.114000000000001</v>
      </c>
      <c r="R91">
        <f t="shared" si="40"/>
        <v>15.225000000000001</v>
      </c>
      <c r="S91">
        <f t="shared" si="59"/>
        <v>14.95</v>
      </c>
      <c r="T91" s="4">
        <f t="shared" si="60"/>
        <v>49.544324772162383</v>
      </c>
      <c r="U91">
        <v>1</v>
      </c>
      <c r="V91">
        <v>27.967700000000001</v>
      </c>
      <c r="W91">
        <v>31.490500000000001</v>
      </c>
      <c r="X91">
        <f t="shared" si="61"/>
        <v>3.5228000000000002</v>
      </c>
      <c r="Y91">
        <f t="shared" si="62"/>
        <v>3522.8</v>
      </c>
      <c r="Z91">
        <v>31.1252</v>
      </c>
      <c r="AA91">
        <f t="shared" si="63"/>
        <v>3.1574999999999989</v>
      </c>
      <c r="AB91">
        <f t="shared" si="41"/>
        <v>3157.4999999999991</v>
      </c>
      <c r="AC91">
        <f t="shared" si="64"/>
        <v>365.30000000000109</v>
      </c>
      <c r="AD91">
        <v>1.0090025504668434</v>
      </c>
      <c r="AE91">
        <f t="shared" si="56"/>
        <v>0.93837237193416445</v>
      </c>
      <c r="AF91">
        <f t="shared" si="57"/>
        <v>10.369592369705947</v>
      </c>
      <c r="AG91">
        <f t="shared" si="65"/>
        <v>6.1330532530941406</v>
      </c>
      <c r="AH91">
        <f t="shared" si="66"/>
        <v>5.7550877283044921E-2</v>
      </c>
      <c r="AI91" s="2">
        <f t="shared" si="53"/>
        <v>0.57550877283044921</v>
      </c>
      <c r="AJ91">
        <v>10</v>
      </c>
      <c r="AK91">
        <f>AI91</f>
        <v>0.57550877283044921</v>
      </c>
      <c r="AL91">
        <f t="shared" si="67"/>
        <v>5.7550877283044921E-2</v>
      </c>
    </row>
    <row r="92" spans="1:39" x14ac:dyDescent="0.2">
      <c r="A92" t="s">
        <v>49</v>
      </c>
      <c r="B92">
        <v>2017</v>
      </c>
      <c r="C92">
        <f t="shared" si="58"/>
        <v>8</v>
      </c>
      <c r="D92">
        <v>2</v>
      </c>
      <c r="E92">
        <v>1</v>
      </c>
      <c r="F92" s="3" t="s">
        <v>41</v>
      </c>
      <c r="G92">
        <v>50</v>
      </c>
      <c r="H92">
        <v>19.5</v>
      </c>
      <c r="I92">
        <f t="shared" si="43"/>
        <v>0.39</v>
      </c>
      <c r="K92">
        <v>4</v>
      </c>
      <c r="M92">
        <v>58</v>
      </c>
      <c r="N92">
        <v>1.8759999999999999</v>
      </c>
      <c r="O92">
        <v>35.56</v>
      </c>
      <c r="P92">
        <f t="shared" si="39"/>
        <v>33.684000000000005</v>
      </c>
      <c r="Q92">
        <v>16.882999999999999</v>
      </c>
      <c r="R92">
        <f t="shared" si="40"/>
        <v>15.007</v>
      </c>
      <c r="S92">
        <f t="shared" si="59"/>
        <v>18.677000000000007</v>
      </c>
      <c r="T92" s="4">
        <f t="shared" si="60"/>
        <v>55.44769029806438</v>
      </c>
      <c r="U92">
        <v>17</v>
      </c>
      <c r="V92">
        <v>28.977699999999999</v>
      </c>
      <c r="W92">
        <v>32.476399999999998</v>
      </c>
      <c r="X92">
        <f t="shared" si="61"/>
        <v>3.4986999999999995</v>
      </c>
      <c r="Y92">
        <f t="shared" si="62"/>
        <v>3498.6999999999994</v>
      </c>
      <c r="Z92">
        <v>32.082000000000001</v>
      </c>
      <c r="AA92">
        <f t="shared" si="63"/>
        <v>3.1043000000000021</v>
      </c>
      <c r="AB92">
        <f t="shared" si="41"/>
        <v>3104.300000000002</v>
      </c>
      <c r="AC92">
        <f t="shared" si="64"/>
        <v>394.39999999999736</v>
      </c>
      <c r="AD92">
        <v>0.91301222541454419</v>
      </c>
      <c r="AE92">
        <f t="shared" si="56"/>
        <v>0.35607476791167225</v>
      </c>
      <c r="AF92">
        <f t="shared" si="57"/>
        <v>11.272758453139664</v>
      </c>
      <c r="AG92">
        <f t="shared" si="65"/>
        <v>6.4581930431302794</v>
      </c>
      <c r="AH92">
        <f t="shared" si="66"/>
        <v>2.2995995889613905E-2</v>
      </c>
      <c r="AI92" s="2">
        <f t="shared" si="53"/>
        <v>1.1497997944806952</v>
      </c>
      <c r="AJ92">
        <v>25</v>
      </c>
      <c r="AK92">
        <f>AI92-(AK93+AK94)</f>
        <v>-5.5945020576267934E-2</v>
      </c>
      <c r="AL92">
        <f t="shared" si="67"/>
        <v>-2.2378008230507173E-3</v>
      </c>
      <c r="AM92" t="s">
        <v>50</v>
      </c>
    </row>
    <row r="93" spans="1:39" x14ac:dyDescent="0.2">
      <c r="A93" t="s">
        <v>49</v>
      </c>
      <c r="B93">
        <v>2017</v>
      </c>
      <c r="C93">
        <f t="shared" si="58"/>
        <v>8</v>
      </c>
      <c r="D93">
        <v>2</v>
      </c>
      <c r="E93">
        <v>1</v>
      </c>
      <c r="F93" t="s">
        <v>39</v>
      </c>
      <c r="G93">
        <v>25</v>
      </c>
      <c r="H93">
        <v>21</v>
      </c>
      <c r="I93">
        <f t="shared" si="43"/>
        <v>0.84</v>
      </c>
      <c r="K93">
        <v>4</v>
      </c>
      <c r="M93">
        <v>59</v>
      </c>
      <c r="N93">
        <v>1.8620000000000001</v>
      </c>
      <c r="O93">
        <v>33.177</v>
      </c>
      <c r="P93">
        <f t="shared" si="39"/>
        <v>31.314999999999998</v>
      </c>
      <c r="Q93">
        <v>15.846</v>
      </c>
      <c r="R93">
        <f t="shared" si="40"/>
        <v>13.984</v>
      </c>
      <c r="S93">
        <f t="shared" si="59"/>
        <v>17.330999999999996</v>
      </c>
      <c r="T93" s="4">
        <f t="shared" si="60"/>
        <v>55.344084304646323</v>
      </c>
      <c r="U93">
        <v>8</v>
      </c>
      <c r="V93">
        <v>27.3459</v>
      </c>
      <c r="W93">
        <v>30.5303</v>
      </c>
      <c r="X93">
        <f t="shared" si="61"/>
        <v>3.1844000000000001</v>
      </c>
      <c r="Y93">
        <f t="shared" si="62"/>
        <v>3184.4</v>
      </c>
      <c r="Z93">
        <v>30.220199999999998</v>
      </c>
      <c r="AA93">
        <f t="shared" si="63"/>
        <v>2.8742999999999981</v>
      </c>
      <c r="AB93">
        <f t="shared" si="41"/>
        <v>2874.2999999999979</v>
      </c>
      <c r="AC93">
        <f t="shared" si="64"/>
        <v>310.10000000000218</v>
      </c>
      <c r="AD93">
        <v>0.97221786424472922</v>
      </c>
      <c r="AE93">
        <f t="shared" si="56"/>
        <v>0.81666300596557251</v>
      </c>
      <c r="AF93">
        <f t="shared" si="57"/>
        <v>9.7380982288657876</v>
      </c>
      <c r="AG93">
        <f t="shared" si="65"/>
        <v>5.9057153623916836</v>
      </c>
      <c r="AH93">
        <f t="shared" si="66"/>
        <v>4.8229792602278526E-2</v>
      </c>
      <c r="AI93" s="2">
        <f t="shared" ref="AI93:AI108" si="68">AH93*G93</f>
        <v>1.2057448150569632</v>
      </c>
      <c r="AJ93">
        <v>15</v>
      </c>
      <c r="AK93">
        <f>AI93-AI94</f>
        <v>0.63469526218521344</v>
      </c>
      <c r="AL93">
        <f t="shared" si="67"/>
        <v>4.2313017479014232E-2</v>
      </c>
      <c r="AM93" t="s">
        <v>51</v>
      </c>
    </row>
    <row r="94" spans="1:39" x14ac:dyDescent="0.2">
      <c r="A94" t="s">
        <v>49</v>
      </c>
      <c r="B94">
        <v>2017</v>
      </c>
      <c r="C94">
        <f t="shared" si="58"/>
        <v>8</v>
      </c>
      <c r="D94">
        <v>2</v>
      </c>
      <c r="E94">
        <v>1</v>
      </c>
      <c r="F94" t="s">
        <v>40</v>
      </c>
      <c r="G94">
        <v>10</v>
      </c>
      <c r="H94">
        <v>10</v>
      </c>
      <c r="I94">
        <f t="shared" si="43"/>
        <v>1</v>
      </c>
      <c r="K94">
        <v>4</v>
      </c>
      <c r="M94">
        <v>60</v>
      </c>
      <c r="N94">
        <v>1.879</v>
      </c>
      <c r="O94">
        <v>31.585999999999999</v>
      </c>
      <c r="P94">
        <f t="shared" si="39"/>
        <v>29.706999999999997</v>
      </c>
      <c r="Q94">
        <v>18.035</v>
      </c>
      <c r="R94">
        <f t="shared" si="40"/>
        <v>16.155999999999999</v>
      </c>
      <c r="S94">
        <f t="shared" si="59"/>
        <v>13.550999999999998</v>
      </c>
      <c r="T94" s="4">
        <f t="shared" si="60"/>
        <v>45.615511495607095</v>
      </c>
      <c r="U94">
        <v>3</v>
      </c>
      <c r="V94">
        <v>28.9649</v>
      </c>
      <c r="W94">
        <v>32.54</v>
      </c>
      <c r="X94">
        <f t="shared" si="61"/>
        <v>3.5750999999999991</v>
      </c>
      <c r="Y94">
        <f t="shared" si="62"/>
        <v>3575.099999999999</v>
      </c>
      <c r="Z94">
        <v>32.216299999999997</v>
      </c>
      <c r="AA94">
        <f t="shared" si="63"/>
        <v>3.2513999999999967</v>
      </c>
      <c r="AB94">
        <f t="shared" si="41"/>
        <v>3251.3999999999969</v>
      </c>
      <c r="AC94">
        <f t="shared" si="64"/>
        <v>323.70000000000209</v>
      </c>
      <c r="AD94">
        <v>1.0090025504668434</v>
      </c>
      <c r="AE94">
        <f t="shared" si="56"/>
        <v>1.0090025504668434</v>
      </c>
      <c r="AF94">
        <f t="shared" si="57"/>
        <v>9.0542921876311766</v>
      </c>
      <c r="AG94">
        <f t="shared" si="65"/>
        <v>5.6595451875472236</v>
      </c>
      <c r="AH94">
        <f t="shared" si="66"/>
        <v>5.7104955287174977E-2</v>
      </c>
      <c r="AI94" s="2">
        <f t="shared" si="68"/>
        <v>0.57104955287174974</v>
      </c>
      <c r="AJ94">
        <v>10</v>
      </c>
      <c r="AK94">
        <f>AI94</f>
        <v>0.57104955287174974</v>
      </c>
      <c r="AL94">
        <f t="shared" si="67"/>
        <v>5.7104955287174977E-2</v>
      </c>
    </row>
    <row r="95" spans="1:39" x14ac:dyDescent="0.2">
      <c r="A95" t="s">
        <v>49</v>
      </c>
      <c r="B95">
        <v>2017</v>
      </c>
      <c r="C95">
        <f t="shared" si="58"/>
        <v>8</v>
      </c>
      <c r="D95">
        <v>2</v>
      </c>
      <c r="E95">
        <v>2</v>
      </c>
      <c r="F95" s="3" t="s">
        <v>41</v>
      </c>
      <c r="G95">
        <v>50</v>
      </c>
      <c r="H95">
        <v>18</v>
      </c>
      <c r="I95">
        <f t="shared" si="43"/>
        <v>0.36</v>
      </c>
      <c r="K95">
        <v>4</v>
      </c>
      <c r="M95">
        <v>61</v>
      </c>
      <c r="N95">
        <v>1.887</v>
      </c>
      <c r="O95">
        <v>35.898000000000003</v>
      </c>
      <c r="P95">
        <f t="shared" si="39"/>
        <v>34.011000000000003</v>
      </c>
      <c r="Q95">
        <v>19.742999999999999</v>
      </c>
      <c r="R95">
        <f t="shared" si="40"/>
        <v>17.855999999999998</v>
      </c>
      <c r="S95">
        <f t="shared" si="59"/>
        <v>16.155000000000005</v>
      </c>
      <c r="T95" s="4">
        <f t="shared" si="60"/>
        <v>47.499338449325229</v>
      </c>
      <c r="U95">
        <v>9</v>
      </c>
      <c r="V95">
        <v>30.433</v>
      </c>
      <c r="W95">
        <v>34.081800000000001</v>
      </c>
      <c r="X95">
        <f t="shared" si="61"/>
        <v>3.6488000000000014</v>
      </c>
      <c r="Y95">
        <f t="shared" si="62"/>
        <v>3648.8000000000015</v>
      </c>
      <c r="Z95">
        <v>33.815600000000003</v>
      </c>
      <c r="AA95">
        <f t="shared" si="63"/>
        <v>3.3826000000000036</v>
      </c>
      <c r="AB95">
        <f t="shared" si="41"/>
        <v>3382.6000000000035</v>
      </c>
      <c r="AC95">
        <f t="shared" si="64"/>
        <v>266.199999999998</v>
      </c>
      <c r="AD95">
        <v>0.91301222541454419</v>
      </c>
      <c r="AE95">
        <f t="shared" si="56"/>
        <v>0.32868440114923592</v>
      </c>
      <c r="AF95">
        <f t="shared" si="57"/>
        <v>7.295549221661858</v>
      </c>
      <c r="AG95">
        <f t="shared" si="65"/>
        <v>5.0263977197982683</v>
      </c>
      <c r="AH95">
        <f t="shared" si="66"/>
        <v>1.6520985244697785E-2</v>
      </c>
      <c r="AI95" s="2">
        <f t="shared" si="68"/>
        <v>0.82604926223488928</v>
      </c>
      <c r="AJ95">
        <v>25</v>
      </c>
      <c r="AK95">
        <f>AI95-(AK96+AK97)</f>
        <v>-3.3038916473635327E-2</v>
      </c>
      <c r="AL95">
        <f t="shared" si="67"/>
        <v>-1.321556658945413E-3</v>
      </c>
      <c r="AM95" t="s">
        <v>52</v>
      </c>
    </row>
    <row r="96" spans="1:39" x14ac:dyDescent="0.2">
      <c r="A96" t="s">
        <v>49</v>
      </c>
      <c r="B96">
        <v>2017</v>
      </c>
      <c r="C96">
        <f t="shared" si="58"/>
        <v>8</v>
      </c>
      <c r="D96">
        <v>2</v>
      </c>
      <c r="E96">
        <v>2</v>
      </c>
      <c r="F96" t="s">
        <v>39</v>
      </c>
      <c r="G96">
        <v>25</v>
      </c>
      <c r="H96">
        <v>18</v>
      </c>
      <c r="I96">
        <f t="shared" si="43"/>
        <v>0.72</v>
      </c>
      <c r="K96">
        <v>4</v>
      </c>
      <c r="M96">
        <v>62</v>
      </c>
      <c r="N96">
        <v>1.8819999999999999</v>
      </c>
      <c r="O96">
        <v>33.582000000000001</v>
      </c>
      <c r="P96">
        <f t="shared" si="39"/>
        <v>31.7</v>
      </c>
      <c r="Q96">
        <v>20.844999999999999</v>
      </c>
      <c r="R96">
        <f t="shared" si="40"/>
        <v>18.962999999999997</v>
      </c>
      <c r="S96">
        <f t="shared" si="59"/>
        <v>12.737000000000002</v>
      </c>
      <c r="T96" s="4">
        <f t="shared" si="60"/>
        <v>40.179810725552059</v>
      </c>
      <c r="U96">
        <v>6</v>
      </c>
      <c r="V96">
        <v>30.164100000000001</v>
      </c>
      <c r="W96">
        <v>33.5717</v>
      </c>
      <c r="X96">
        <f t="shared" si="61"/>
        <v>3.4075999999999986</v>
      </c>
      <c r="Y96">
        <f t="shared" si="62"/>
        <v>3407.5999999999985</v>
      </c>
      <c r="Z96">
        <v>33.334200000000003</v>
      </c>
      <c r="AA96">
        <f t="shared" si="63"/>
        <v>3.1701000000000015</v>
      </c>
      <c r="AB96">
        <f t="shared" si="41"/>
        <v>3170.1000000000013</v>
      </c>
      <c r="AC96">
        <f t="shared" si="64"/>
        <v>237.49999999999727</v>
      </c>
      <c r="AD96">
        <v>0.97221786424472922</v>
      </c>
      <c r="AE96">
        <f t="shared" si="56"/>
        <v>0.69999686225620505</v>
      </c>
      <c r="AF96">
        <f t="shared" si="57"/>
        <v>6.9697147552528875</v>
      </c>
      <c r="AG96">
        <f t="shared" si="65"/>
        <v>4.9090973118910393</v>
      </c>
      <c r="AH96">
        <f t="shared" si="66"/>
        <v>3.4363527148340983E-2</v>
      </c>
      <c r="AI96" s="2">
        <f t="shared" si="68"/>
        <v>0.85908817870852461</v>
      </c>
      <c r="AJ96">
        <v>15</v>
      </c>
      <c r="AK96">
        <f>AI96-AI97</f>
        <v>0.36815254242443418</v>
      </c>
      <c r="AL96">
        <f t="shared" si="67"/>
        <v>2.4543502828295611E-2</v>
      </c>
    </row>
    <row r="97" spans="1:39" x14ac:dyDescent="0.2">
      <c r="A97" t="s">
        <v>49</v>
      </c>
      <c r="B97">
        <v>2017</v>
      </c>
      <c r="C97">
        <f t="shared" si="58"/>
        <v>8</v>
      </c>
      <c r="D97">
        <v>2</v>
      </c>
      <c r="E97">
        <v>2</v>
      </c>
      <c r="F97" t="s">
        <v>40</v>
      </c>
      <c r="G97">
        <v>10</v>
      </c>
      <c r="H97">
        <v>10</v>
      </c>
      <c r="I97">
        <f t="shared" si="43"/>
        <v>1</v>
      </c>
      <c r="K97">
        <v>4</v>
      </c>
      <c r="M97">
        <v>63</v>
      </c>
      <c r="N97">
        <v>1.879</v>
      </c>
      <c r="O97">
        <v>36.164000000000001</v>
      </c>
      <c r="P97">
        <f t="shared" si="39"/>
        <v>34.285000000000004</v>
      </c>
      <c r="Q97">
        <v>23.641999999999999</v>
      </c>
      <c r="R97">
        <f t="shared" si="40"/>
        <v>21.762999999999998</v>
      </c>
      <c r="S97">
        <f t="shared" si="59"/>
        <v>12.522000000000006</v>
      </c>
      <c r="T97" s="4">
        <f t="shared" si="60"/>
        <v>36.523260901268792</v>
      </c>
      <c r="U97">
        <v>16</v>
      </c>
      <c r="V97">
        <v>28.4528</v>
      </c>
      <c r="W97">
        <v>32.161499999999997</v>
      </c>
      <c r="X97">
        <f t="shared" si="61"/>
        <v>3.7086999999999968</v>
      </c>
      <c r="Y97">
        <f t="shared" si="62"/>
        <v>3708.6999999999966</v>
      </c>
      <c r="Z97">
        <v>31.907499999999999</v>
      </c>
      <c r="AA97">
        <f t="shared" si="63"/>
        <v>3.454699999999999</v>
      </c>
      <c r="AB97">
        <f t="shared" si="41"/>
        <v>3454.6999999999989</v>
      </c>
      <c r="AC97">
        <f t="shared" si="64"/>
        <v>253.99999999999773</v>
      </c>
      <c r="AD97">
        <v>1.0090025504668434</v>
      </c>
      <c r="AE97">
        <f t="shared" si="56"/>
        <v>1.0090025504668434</v>
      </c>
      <c r="AF97">
        <f t="shared" si="57"/>
        <v>6.8487610213821011</v>
      </c>
      <c r="AG97">
        <f t="shared" si="65"/>
        <v>4.8655539676975561</v>
      </c>
      <c r="AH97">
        <f t="shared" si="66"/>
        <v>4.909356362840904E-2</v>
      </c>
      <c r="AI97" s="2">
        <f t="shared" si="68"/>
        <v>0.49093563628409043</v>
      </c>
      <c r="AJ97">
        <v>10</v>
      </c>
      <c r="AK97">
        <f>AI97</f>
        <v>0.49093563628409043</v>
      </c>
      <c r="AL97">
        <f t="shared" si="67"/>
        <v>4.909356362840904E-2</v>
      </c>
      <c r="AM97" t="s">
        <v>53</v>
      </c>
    </row>
    <row r="98" spans="1:39" x14ac:dyDescent="0.2">
      <c r="A98" t="s">
        <v>49</v>
      </c>
      <c r="B98">
        <v>2017</v>
      </c>
      <c r="C98">
        <f t="shared" si="58"/>
        <v>8</v>
      </c>
      <c r="D98">
        <v>2</v>
      </c>
      <c r="E98">
        <v>3</v>
      </c>
      <c r="F98" t="s">
        <v>41</v>
      </c>
      <c r="G98">
        <v>50</v>
      </c>
      <c r="H98">
        <v>16</v>
      </c>
      <c r="I98">
        <f t="shared" si="43"/>
        <v>0.32</v>
      </c>
      <c r="K98">
        <v>4</v>
      </c>
      <c r="M98">
        <v>64</v>
      </c>
      <c r="N98">
        <v>1.893</v>
      </c>
      <c r="O98">
        <v>35.481999999999999</v>
      </c>
      <c r="P98">
        <f t="shared" si="39"/>
        <v>33.588999999999999</v>
      </c>
      <c r="Q98">
        <v>19.297000000000001</v>
      </c>
      <c r="R98">
        <f t="shared" si="40"/>
        <v>17.404</v>
      </c>
      <c r="S98">
        <f t="shared" si="59"/>
        <v>16.184999999999999</v>
      </c>
      <c r="T98" s="4">
        <f t="shared" si="60"/>
        <v>48.185417845127866</v>
      </c>
      <c r="U98">
        <v>5</v>
      </c>
      <c r="V98">
        <v>22.167100000000001</v>
      </c>
      <c r="W98">
        <v>24.8886</v>
      </c>
      <c r="X98">
        <f t="shared" si="61"/>
        <v>2.7214999999999989</v>
      </c>
      <c r="Y98">
        <f t="shared" si="62"/>
        <v>2721.4999999999991</v>
      </c>
      <c r="Z98">
        <v>24.610399999999998</v>
      </c>
      <c r="AA98">
        <f t="shared" si="63"/>
        <v>2.4432999999999971</v>
      </c>
      <c r="AB98">
        <f t="shared" si="41"/>
        <v>2443.299999999997</v>
      </c>
      <c r="AC98">
        <f t="shared" si="64"/>
        <v>278.20000000000209</v>
      </c>
      <c r="AD98">
        <v>0.91301222541454419</v>
      </c>
      <c r="AE98">
        <f t="shared" si="56"/>
        <v>0.29216391213265414</v>
      </c>
      <c r="AF98">
        <f t="shared" si="57"/>
        <v>10.222303876538753</v>
      </c>
      <c r="AG98">
        <f t="shared" si="65"/>
        <v>6.0800293955539502</v>
      </c>
      <c r="AH98">
        <f t="shared" si="66"/>
        <v>1.7763651740865784E-2</v>
      </c>
      <c r="AI98" s="2">
        <f t="shared" si="68"/>
        <v>0.88818258704328923</v>
      </c>
      <c r="AJ98">
        <v>25</v>
      </c>
      <c r="AK98" s="5">
        <f>AI98-(AK99+AK100)</f>
        <v>-2.3421258414774742</v>
      </c>
      <c r="AL98" s="5">
        <f t="shared" si="67"/>
        <v>-9.3685033659098971E-2</v>
      </c>
      <c r="AM98" t="s">
        <v>54</v>
      </c>
    </row>
    <row r="99" spans="1:39" x14ac:dyDescent="0.2">
      <c r="A99" t="s">
        <v>49</v>
      </c>
      <c r="B99">
        <v>2017</v>
      </c>
      <c r="C99">
        <f t="shared" si="58"/>
        <v>8</v>
      </c>
      <c r="D99">
        <v>2</v>
      </c>
      <c r="E99">
        <v>3</v>
      </c>
      <c r="F99" t="s">
        <v>39</v>
      </c>
      <c r="G99">
        <v>25</v>
      </c>
      <c r="H99">
        <v>19.5</v>
      </c>
      <c r="I99">
        <f t="shared" si="43"/>
        <v>0.78</v>
      </c>
      <c r="K99">
        <v>4</v>
      </c>
      <c r="M99">
        <v>65</v>
      </c>
      <c r="N99">
        <v>1.895</v>
      </c>
      <c r="O99">
        <v>33.335000000000001</v>
      </c>
      <c r="P99">
        <f t="shared" si="39"/>
        <v>31.44</v>
      </c>
      <c r="Q99">
        <v>17.021000000000001</v>
      </c>
      <c r="R99">
        <f t="shared" si="40"/>
        <v>15.126000000000001</v>
      </c>
      <c r="S99">
        <f t="shared" si="59"/>
        <v>16.314</v>
      </c>
      <c r="T99" s="4">
        <f t="shared" si="60"/>
        <v>51.88931297709923</v>
      </c>
      <c r="U99">
        <v>18</v>
      </c>
      <c r="V99">
        <v>27.3673</v>
      </c>
      <c r="W99">
        <v>30.270600000000002</v>
      </c>
      <c r="X99">
        <f t="shared" si="61"/>
        <v>2.9033000000000015</v>
      </c>
      <c r="Y99">
        <f t="shared" si="62"/>
        <v>2903.3000000000015</v>
      </c>
      <c r="Z99">
        <v>29.09</v>
      </c>
      <c r="AA99">
        <f t="shared" si="63"/>
        <v>1.7226999999999997</v>
      </c>
      <c r="AB99">
        <f t="shared" si="41"/>
        <v>1722.6999999999996</v>
      </c>
      <c r="AC99">
        <f>Y99-AB99</f>
        <v>1180.600000000002</v>
      </c>
      <c r="AD99">
        <v>0.97221786424472922</v>
      </c>
      <c r="AE99">
        <f t="shared" si="56"/>
        <v>0.75832993411088878</v>
      </c>
      <c r="AF99">
        <f t="shared" si="57"/>
        <v>40.664071918162136</v>
      </c>
      <c r="AG99">
        <f t="shared" si="65"/>
        <v>17.039065890538367</v>
      </c>
      <c r="AH99">
        <f t="shared" si="66"/>
        <v>0.12921233714083052</v>
      </c>
      <c r="AI99" s="2">
        <f t="shared" si="68"/>
        <v>3.2303084285207633</v>
      </c>
      <c r="AJ99">
        <v>15</v>
      </c>
      <c r="AK99" s="5">
        <f t="shared" ref="AK99" si="69">AI99-AI100</f>
        <v>2.5952520247973809</v>
      </c>
      <c r="AL99" s="5">
        <f t="shared" si="67"/>
        <v>0.17301680165315872</v>
      </c>
    </row>
    <row r="100" spans="1:39" x14ac:dyDescent="0.2">
      <c r="A100" t="s">
        <v>49</v>
      </c>
      <c r="B100">
        <v>2017</v>
      </c>
      <c r="C100">
        <f t="shared" si="58"/>
        <v>8</v>
      </c>
      <c r="D100">
        <v>2</v>
      </c>
      <c r="E100">
        <v>3</v>
      </c>
      <c r="F100" t="s">
        <v>40</v>
      </c>
      <c r="G100">
        <v>10</v>
      </c>
      <c r="H100">
        <v>10</v>
      </c>
      <c r="I100">
        <f t="shared" si="43"/>
        <v>1</v>
      </c>
      <c r="K100">
        <v>4</v>
      </c>
      <c r="M100">
        <v>66</v>
      </c>
      <c r="N100">
        <v>1.879</v>
      </c>
      <c r="O100">
        <v>34.139000000000003</v>
      </c>
      <c r="P100">
        <f t="shared" si="39"/>
        <v>32.260000000000005</v>
      </c>
      <c r="Q100">
        <v>17.376999999999999</v>
      </c>
      <c r="R100">
        <f t="shared" si="40"/>
        <v>15.497999999999999</v>
      </c>
      <c r="S100">
        <f t="shared" si="59"/>
        <v>16.762000000000008</v>
      </c>
      <c r="T100" s="4">
        <f t="shared" si="60"/>
        <v>51.959082455052709</v>
      </c>
      <c r="U100">
        <v>11</v>
      </c>
      <c r="V100">
        <v>27.4434</v>
      </c>
      <c r="W100">
        <v>30.346399999999999</v>
      </c>
      <c r="X100">
        <f t="shared" si="61"/>
        <v>2.9029999999999987</v>
      </c>
      <c r="Y100">
        <f t="shared" si="62"/>
        <v>2902.9999999999986</v>
      </c>
      <c r="Z100">
        <v>30.032399999999999</v>
      </c>
      <c r="AA100">
        <f t="shared" si="63"/>
        <v>2.5889999999999986</v>
      </c>
      <c r="AB100">
        <f t="shared" si="41"/>
        <v>2588.9999999999986</v>
      </c>
      <c r="AC100">
        <f t="shared" si="64"/>
        <v>314</v>
      </c>
      <c r="AD100">
        <v>1.0090025504668434</v>
      </c>
      <c r="AE100">
        <f t="shared" si="56"/>
        <v>1.0090025504668434</v>
      </c>
      <c r="AF100">
        <f t="shared" si="57"/>
        <v>10.816396830864628</v>
      </c>
      <c r="AG100">
        <f t="shared" si="65"/>
        <v>6.2939028591112658</v>
      </c>
      <c r="AH100">
        <f t="shared" si="66"/>
        <v>6.3505640372338246E-2</v>
      </c>
      <c r="AI100" s="2">
        <f t="shared" si="68"/>
        <v>0.63505640372338246</v>
      </c>
      <c r="AJ100">
        <v>10</v>
      </c>
      <c r="AK100">
        <f t="shared" ref="AK100" si="70">AI100</f>
        <v>0.63505640372338246</v>
      </c>
      <c r="AL100">
        <f t="shared" si="67"/>
        <v>6.3505640372338246E-2</v>
      </c>
    </row>
    <row r="101" spans="1:39" x14ac:dyDescent="0.2">
      <c r="A101" t="s">
        <v>55</v>
      </c>
      <c r="B101">
        <v>2025</v>
      </c>
      <c r="C101">
        <f>2025-B101</f>
        <v>0</v>
      </c>
      <c r="D101">
        <v>1</v>
      </c>
      <c r="E101">
        <v>1</v>
      </c>
      <c r="F101" t="s">
        <v>38</v>
      </c>
      <c r="G101">
        <v>50</v>
      </c>
      <c r="H101">
        <v>14</v>
      </c>
      <c r="I101">
        <f>H101/G101</f>
        <v>0.28000000000000003</v>
      </c>
      <c r="K101">
        <v>4</v>
      </c>
      <c r="M101">
        <v>1</v>
      </c>
      <c r="N101">
        <v>1.8680000000000001</v>
      </c>
      <c r="O101">
        <v>35.682000000000002</v>
      </c>
      <c r="P101">
        <f t="shared" si="39"/>
        <v>33.814</v>
      </c>
      <c r="Q101">
        <v>8.2119999999999997</v>
      </c>
      <c r="R101">
        <f t="shared" si="40"/>
        <v>6.3439999999999994</v>
      </c>
      <c r="S101">
        <f>P101-R101</f>
        <v>27.47</v>
      </c>
      <c r="T101">
        <f>((P101-R101)/P101)*100</f>
        <v>81.23854024960076</v>
      </c>
      <c r="U101">
        <v>1</v>
      </c>
      <c r="V101">
        <v>27.968599999999999</v>
      </c>
      <c r="W101">
        <v>30.301300000000001</v>
      </c>
      <c r="X101">
        <f>W101-V101</f>
        <v>2.3327000000000027</v>
      </c>
      <c r="Y101">
        <f>X101*1000</f>
        <v>2332.7000000000025</v>
      </c>
      <c r="Z101">
        <v>28.4863</v>
      </c>
      <c r="AA101">
        <f>Z101-V101</f>
        <v>0.51770000000000138</v>
      </c>
      <c r="AB101">
        <f t="shared" si="41"/>
        <v>517.70000000000141</v>
      </c>
      <c r="AC101">
        <f>Y101-AB101</f>
        <v>1815.0000000000011</v>
      </c>
      <c r="AD101">
        <v>0.24107995004844848</v>
      </c>
      <c r="AE101">
        <f t="shared" si="56"/>
        <v>6.7502386013565577E-2</v>
      </c>
      <c r="AF101">
        <f t="shared" si="57"/>
        <v>77.806833283319719</v>
      </c>
      <c r="AG101">
        <f>0.36*AF101+2.4</f>
        <v>30.410459981995096</v>
      </c>
      <c r="AH101">
        <f>AE101*(AG101/100)</f>
        <v>2.0527786085547214E-2</v>
      </c>
      <c r="AI101">
        <f t="shared" si="68"/>
        <v>1.0263893042773606</v>
      </c>
      <c r="AJ101" t="s">
        <v>38</v>
      </c>
      <c r="AK101">
        <v>25</v>
      </c>
      <c r="AL101">
        <f>AH101-(AL102+AL103)</f>
        <v>-7.5259539534631749E-3</v>
      </c>
    </row>
    <row r="102" spans="1:39" x14ac:dyDescent="0.2">
      <c r="A102" t="s">
        <v>55</v>
      </c>
      <c r="B102">
        <v>2025</v>
      </c>
      <c r="C102">
        <f t="shared" ref="C102:C109" si="71">2025-B102</f>
        <v>0</v>
      </c>
      <c r="D102">
        <v>1</v>
      </c>
      <c r="E102">
        <v>1</v>
      </c>
      <c r="F102" t="s">
        <v>39</v>
      </c>
      <c r="G102">
        <v>25</v>
      </c>
      <c r="H102">
        <v>11</v>
      </c>
      <c r="I102">
        <f t="shared" ref="I102:I109" si="72">H102/G102</f>
        <v>0.44</v>
      </c>
      <c r="K102">
        <v>4</v>
      </c>
      <c r="M102">
        <v>2</v>
      </c>
      <c r="N102">
        <v>1.87</v>
      </c>
      <c r="O102">
        <v>33.213999999999999</v>
      </c>
      <c r="P102">
        <f t="shared" si="39"/>
        <v>31.343999999999998</v>
      </c>
      <c r="Q102">
        <v>8.07</v>
      </c>
      <c r="R102">
        <f t="shared" si="40"/>
        <v>6.2</v>
      </c>
      <c r="S102">
        <f t="shared" ref="S102:S109" si="73">P102-R102</f>
        <v>25.143999999999998</v>
      </c>
      <c r="T102">
        <f t="shared" ref="T102:T109" si="74">((P102-R102)/P102)*100</f>
        <v>80.219499744767745</v>
      </c>
      <c r="U102">
        <v>6</v>
      </c>
      <c r="V102">
        <v>30.164300000000001</v>
      </c>
      <c r="W102">
        <v>32.866199999999999</v>
      </c>
      <c r="X102">
        <f t="shared" ref="X102:X108" si="75">W102-V102</f>
        <v>2.7018999999999984</v>
      </c>
      <c r="Y102">
        <f t="shared" ref="Y102:Y108" si="76">X102*1000</f>
        <v>2701.8999999999983</v>
      </c>
      <c r="Z102">
        <v>30.791399999999999</v>
      </c>
      <c r="AA102">
        <f t="shared" ref="AA102:AA108" si="77">Z102-V102</f>
        <v>0.62709999999999866</v>
      </c>
      <c r="AB102">
        <f t="shared" si="41"/>
        <v>627.09999999999866</v>
      </c>
      <c r="AC102">
        <f t="shared" ref="AC102:AC108" si="78">Y102-AB102</f>
        <v>2074.7999999999997</v>
      </c>
      <c r="AD102">
        <v>0.21221322224515593</v>
      </c>
      <c r="AE102">
        <f t="shared" si="56"/>
        <v>9.3373817787868615E-2</v>
      </c>
      <c r="AF102">
        <f t="shared" si="57"/>
        <v>76.790406750805033</v>
      </c>
      <c r="AG102">
        <f t="shared" ref="AG102:AG108" si="79">0.36*AF102+2.4</f>
        <v>30.04454643028981</v>
      </c>
      <c r="AH102">
        <f>AE102*(AG102/100)</f>
        <v>2.8053740039010389E-2</v>
      </c>
      <c r="AI102">
        <f t="shared" si="68"/>
        <v>0.70134350097525977</v>
      </c>
      <c r="AJ102" t="s">
        <v>39</v>
      </c>
      <c r="AK102">
        <v>15</v>
      </c>
      <c r="AL102">
        <f>AH102-AH103</f>
        <v>-4.5294158232743222E-3</v>
      </c>
    </row>
    <row r="103" spans="1:39" x14ac:dyDescent="0.2">
      <c r="A103" t="s">
        <v>55</v>
      </c>
      <c r="B103">
        <v>2025</v>
      </c>
      <c r="C103">
        <f t="shared" si="71"/>
        <v>0</v>
      </c>
      <c r="D103">
        <v>1</v>
      </c>
      <c r="E103">
        <v>1</v>
      </c>
      <c r="F103" t="s">
        <v>40</v>
      </c>
      <c r="G103">
        <v>10</v>
      </c>
      <c r="H103">
        <v>8</v>
      </c>
      <c r="I103">
        <f t="shared" si="72"/>
        <v>0.8</v>
      </c>
      <c r="K103">
        <v>4</v>
      </c>
      <c r="M103">
        <v>3</v>
      </c>
      <c r="N103">
        <v>1.879</v>
      </c>
      <c r="O103">
        <v>30.547999999999998</v>
      </c>
      <c r="P103">
        <f t="shared" si="39"/>
        <v>28.668999999999997</v>
      </c>
      <c r="Q103">
        <v>6.3860000000000001</v>
      </c>
      <c r="R103">
        <f t="shared" si="40"/>
        <v>4.5069999999999997</v>
      </c>
      <c r="S103">
        <f t="shared" si="73"/>
        <v>24.161999999999999</v>
      </c>
      <c r="T103">
        <f t="shared" si="74"/>
        <v>84.279186577836697</v>
      </c>
      <c r="U103">
        <v>15</v>
      </c>
      <c r="V103">
        <v>27.8385</v>
      </c>
      <c r="W103">
        <v>30.345199999999998</v>
      </c>
      <c r="X103">
        <f t="shared" si="75"/>
        <v>2.5066999999999986</v>
      </c>
      <c r="Y103">
        <f t="shared" si="76"/>
        <v>2506.6999999999985</v>
      </c>
      <c r="Z103">
        <v>28.4541</v>
      </c>
      <c r="AA103">
        <f>Z103-V103</f>
        <v>0.61560000000000059</v>
      </c>
      <c r="AB103">
        <f t="shared" si="41"/>
        <v>615.60000000000059</v>
      </c>
      <c r="AC103">
        <f t="shared" si="78"/>
        <v>1891.0999999999979</v>
      </c>
      <c r="AD103">
        <v>0.13778839198180839</v>
      </c>
      <c r="AE103">
        <f t="shared" si="56"/>
        <v>0.11023071358544673</v>
      </c>
      <c r="AF103">
        <f t="shared" si="57"/>
        <v>75.441815933298713</v>
      </c>
      <c r="AG103">
        <f t="shared" si="79"/>
        <v>29.559053735987533</v>
      </c>
      <c r="AH103">
        <f t="shared" ref="AH103:AH108" si="80">AE103*(AG103/100)</f>
        <v>3.2583155862284711E-2</v>
      </c>
      <c r="AI103">
        <f t="shared" si="68"/>
        <v>0.32583155862284713</v>
      </c>
      <c r="AJ103" t="s">
        <v>40</v>
      </c>
      <c r="AK103">
        <v>10</v>
      </c>
      <c r="AL103">
        <f>AH103</f>
        <v>3.2583155862284711E-2</v>
      </c>
    </row>
    <row r="104" spans="1:39" x14ac:dyDescent="0.2">
      <c r="A104" t="s">
        <v>55</v>
      </c>
      <c r="B104">
        <v>2025</v>
      </c>
      <c r="C104">
        <f t="shared" si="71"/>
        <v>0</v>
      </c>
      <c r="D104">
        <v>1</v>
      </c>
      <c r="E104">
        <v>2</v>
      </c>
      <c r="F104" s="3" t="s">
        <v>41</v>
      </c>
      <c r="G104">
        <v>50</v>
      </c>
      <c r="H104">
        <v>24</v>
      </c>
      <c r="I104">
        <f t="shared" si="72"/>
        <v>0.48</v>
      </c>
      <c r="K104">
        <v>4</v>
      </c>
      <c r="M104">
        <v>4</v>
      </c>
      <c r="N104">
        <v>1.887</v>
      </c>
      <c r="O104">
        <v>28.922000000000001</v>
      </c>
      <c r="P104">
        <f t="shared" si="39"/>
        <v>27.035</v>
      </c>
      <c r="Q104">
        <v>6.5289999999999999</v>
      </c>
      <c r="R104">
        <f t="shared" si="40"/>
        <v>4.6419999999999995</v>
      </c>
      <c r="S104">
        <f t="shared" si="73"/>
        <v>22.393000000000001</v>
      </c>
      <c r="T104">
        <f t="shared" si="74"/>
        <v>82.82966524875161</v>
      </c>
      <c r="U104">
        <v>8</v>
      </c>
      <c r="V104">
        <v>27.346</v>
      </c>
      <c r="W104">
        <v>29.743400000000001</v>
      </c>
      <c r="X104">
        <f t="shared" si="75"/>
        <v>2.3974000000000011</v>
      </c>
      <c r="Y104">
        <f t="shared" si="76"/>
        <v>2397.400000000001</v>
      </c>
      <c r="Z104">
        <v>27.889199999999999</v>
      </c>
      <c r="AA104">
        <f t="shared" si="77"/>
        <v>0.54319999999999879</v>
      </c>
      <c r="AB104">
        <f t="shared" si="41"/>
        <v>543.19999999999879</v>
      </c>
      <c r="AC104">
        <f t="shared" si="78"/>
        <v>1854.2000000000021</v>
      </c>
      <c r="AD104">
        <v>0.24107995004844848</v>
      </c>
      <c r="AE104">
        <f t="shared" si="56"/>
        <v>0.11571837602325527</v>
      </c>
      <c r="AF104">
        <f t="shared" si="57"/>
        <v>77.342120630683297</v>
      </c>
      <c r="AG104">
        <f t="shared" si="79"/>
        <v>30.243163427045985</v>
      </c>
      <c r="AH104">
        <f t="shared" si="80"/>
        <v>3.4996897575836683E-2</v>
      </c>
      <c r="AI104">
        <f t="shared" si="68"/>
        <v>1.7498448787918341</v>
      </c>
      <c r="AJ104" s="3" t="s">
        <v>41</v>
      </c>
      <c r="AK104">
        <v>25</v>
      </c>
      <c r="AL104">
        <f>AH104-(AL105+AL106)</f>
        <v>-1.0746462485845272E-2</v>
      </c>
    </row>
    <row r="105" spans="1:39" x14ac:dyDescent="0.2">
      <c r="A105" t="s">
        <v>55</v>
      </c>
      <c r="B105">
        <v>2025</v>
      </c>
      <c r="C105">
        <f t="shared" si="71"/>
        <v>0</v>
      </c>
      <c r="D105">
        <v>1</v>
      </c>
      <c r="E105">
        <v>2</v>
      </c>
      <c r="F105" t="s">
        <v>39</v>
      </c>
      <c r="G105">
        <v>25</v>
      </c>
      <c r="H105">
        <v>18</v>
      </c>
      <c r="I105">
        <f t="shared" si="72"/>
        <v>0.72</v>
      </c>
      <c r="K105">
        <v>4</v>
      </c>
      <c r="M105">
        <v>5</v>
      </c>
      <c r="N105">
        <v>1.893</v>
      </c>
      <c r="O105">
        <v>32.536999999999999</v>
      </c>
      <c r="P105">
        <f t="shared" si="39"/>
        <v>30.643999999999998</v>
      </c>
      <c r="Q105">
        <v>6.83</v>
      </c>
      <c r="R105">
        <f t="shared" si="40"/>
        <v>4.9370000000000003</v>
      </c>
      <c r="S105">
        <f t="shared" si="73"/>
        <v>25.706999999999997</v>
      </c>
      <c r="T105">
        <f t="shared" si="74"/>
        <v>83.889178958360517</v>
      </c>
      <c r="U105">
        <v>13</v>
      </c>
      <c r="V105">
        <v>22.196400000000001</v>
      </c>
      <c r="W105">
        <v>24.901299999999999</v>
      </c>
      <c r="X105">
        <f t="shared" si="75"/>
        <v>2.7048999999999985</v>
      </c>
      <c r="Y105">
        <f t="shared" si="76"/>
        <v>2704.8999999999987</v>
      </c>
      <c r="Z105">
        <v>22.8322</v>
      </c>
      <c r="AA105">
        <f t="shared" si="77"/>
        <v>0.6357999999999997</v>
      </c>
      <c r="AB105">
        <f t="shared" si="41"/>
        <v>635.79999999999973</v>
      </c>
      <c r="AC105">
        <f t="shared" si="78"/>
        <v>2069.099999999999</v>
      </c>
      <c r="AD105">
        <v>0.21221322224515593</v>
      </c>
      <c r="AE105">
        <f t="shared" si="56"/>
        <v>0.15279352001651225</v>
      </c>
      <c r="AF105">
        <f t="shared" si="57"/>
        <v>76.494509963399764</v>
      </c>
      <c r="AG105">
        <f t="shared" si="79"/>
        <v>29.938023586823913</v>
      </c>
      <c r="AH105">
        <f t="shared" si="80"/>
        <v>4.5743360061681955E-2</v>
      </c>
      <c r="AI105">
        <f t="shared" si="68"/>
        <v>1.1435840015420489</v>
      </c>
      <c r="AJ105" t="s">
        <v>39</v>
      </c>
      <c r="AK105">
        <v>15</v>
      </c>
      <c r="AL105">
        <f>AH105-AH106</f>
        <v>5.9345847899742593E-3</v>
      </c>
      <c r="AM105" t="s">
        <v>56</v>
      </c>
    </row>
    <row r="106" spans="1:39" x14ac:dyDescent="0.2">
      <c r="A106" t="s">
        <v>55</v>
      </c>
      <c r="B106">
        <v>2025</v>
      </c>
      <c r="C106">
        <f t="shared" si="71"/>
        <v>0</v>
      </c>
      <c r="D106">
        <v>1</v>
      </c>
      <c r="E106">
        <v>2</v>
      </c>
      <c r="F106" t="s">
        <v>40</v>
      </c>
      <c r="G106">
        <v>10</v>
      </c>
      <c r="H106">
        <v>10</v>
      </c>
      <c r="I106">
        <f t="shared" si="72"/>
        <v>1</v>
      </c>
      <c r="K106">
        <v>4</v>
      </c>
      <c r="M106">
        <v>6</v>
      </c>
      <c r="N106">
        <v>1.881</v>
      </c>
      <c r="O106">
        <v>33.601999999999997</v>
      </c>
      <c r="P106">
        <f t="shared" si="39"/>
        <v>31.720999999999997</v>
      </c>
      <c r="Q106">
        <v>6.5640000000000001</v>
      </c>
      <c r="R106">
        <f t="shared" si="40"/>
        <v>4.6829999999999998</v>
      </c>
      <c r="S106">
        <f t="shared" si="73"/>
        <v>27.037999999999997</v>
      </c>
      <c r="T106">
        <f t="shared" si="74"/>
        <v>85.236909302985396</v>
      </c>
      <c r="U106">
        <v>2</v>
      </c>
      <c r="V106">
        <v>26.645499999999998</v>
      </c>
      <c r="W106">
        <v>28.962900000000001</v>
      </c>
      <c r="X106">
        <f t="shared" si="75"/>
        <v>2.3174000000000028</v>
      </c>
      <c r="Y106">
        <f t="shared" si="76"/>
        <v>2317.4000000000028</v>
      </c>
      <c r="Z106">
        <v>27.2576</v>
      </c>
      <c r="AA106">
        <f>Z106-V106</f>
        <v>0.61210000000000164</v>
      </c>
      <c r="AB106">
        <f t="shared" si="41"/>
        <v>612.10000000000161</v>
      </c>
      <c r="AC106">
        <f t="shared" si="78"/>
        <v>1705.3000000000011</v>
      </c>
      <c r="AD106">
        <v>0.13778839198180839</v>
      </c>
      <c r="AE106">
        <f t="shared" si="56"/>
        <v>0.13778839198180839</v>
      </c>
      <c r="AF106">
        <f t="shared" si="57"/>
        <v>73.586778286010144</v>
      </c>
      <c r="AG106">
        <f t="shared" si="79"/>
        <v>28.891240182963649</v>
      </c>
      <c r="AH106">
        <f t="shared" si="80"/>
        <v>3.9808775271707696E-2</v>
      </c>
      <c r="AI106">
        <f t="shared" si="68"/>
        <v>0.39808775271707697</v>
      </c>
      <c r="AJ106" t="s">
        <v>40</v>
      </c>
      <c r="AK106">
        <v>10</v>
      </c>
      <c r="AL106">
        <f>AH106</f>
        <v>3.9808775271707696E-2</v>
      </c>
      <c r="AM106" t="s">
        <v>57</v>
      </c>
    </row>
    <row r="107" spans="1:39" x14ac:dyDescent="0.2">
      <c r="A107" t="s">
        <v>55</v>
      </c>
      <c r="B107">
        <v>2025</v>
      </c>
      <c r="C107">
        <f t="shared" si="71"/>
        <v>0</v>
      </c>
      <c r="D107">
        <v>1</v>
      </c>
      <c r="E107">
        <v>3</v>
      </c>
      <c r="F107" s="3" t="s">
        <v>41</v>
      </c>
      <c r="G107">
        <v>50</v>
      </c>
      <c r="H107">
        <v>25</v>
      </c>
      <c r="I107">
        <f t="shared" si="72"/>
        <v>0.5</v>
      </c>
      <c r="K107">
        <v>4</v>
      </c>
      <c r="M107">
        <v>7</v>
      </c>
      <c r="N107">
        <v>1.863</v>
      </c>
      <c r="O107">
        <v>29.98</v>
      </c>
      <c r="P107">
        <f t="shared" si="39"/>
        <v>28.117000000000001</v>
      </c>
      <c r="Q107">
        <v>8.0239999999999991</v>
      </c>
      <c r="R107">
        <f t="shared" si="40"/>
        <v>6.1609999999999996</v>
      </c>
      <c r="S107">
        <f t="shared" si="73"/>
        <v>21.956000000000003</v>
      </c>
      <c r="T107">
        <f t="shared" si="74"/>
        <v>78.087989472561091</v>
      </c>
      <c r="U107">
        <v>21</v>
      </c>
      <c r="V107">
        <v>31.079699999999999</v>
      </c>
      <c r="W107">
        <v>33.519500000000001</v>
      </c>
      <c r="X107">
        <f t="shared" si="75"/>
        <v>2.4398000000000017</v>
      </c>
      <c r="Y107">
        <f t="shared" si="76"/>
        <v>2439.8000000000015</v>
      </c>
      <c r="Z107">
        <v>31.578199999999999</v>
      </c>
      <c r="AA107">
        <f t="shared" si="77"/>
        <v>0.49849999999999994</v>
      </c>
      <c r="AB107">
        <f t="shared" si="41"/>
        <v>498.49999999999994</v>
      </c>
      <c r="AC107">
        <f t="shared" si="78"/>
        <v>1941.3000000000015</v>
      </c>
      <c r="AD107">
        <v>0.24107995004844848</v>
      </c>
      <c r="AE107">
        <f t="shared" si="56"/>
        <v>0.12053997502422424</v>
      </c>
      <c r="AF107">
        <f t="shared" si="57"/>
        <v>79.567997376834171</v>
      </c>
      <c r="AG107">
        <f t="shared" si="79"/>
        <v>31.0444790556603</v>
      </c>
      <c r="AH107">
        <f t="shared" si="80"/>
        <v>3.7421007300093449E-2</v>
      </c>
      <c r="AI107">
        <f t="shared" si="68"/>
        <v>1.8710503650046724</v>
      </c>
      <c r="AJ107" s="3" t="s">
        <v>41</v>
      </c>
      <c r="AK107">
        <v>25</v>
      </c>
      <c r="AL107">
        <f t="shared" ref="AL107" si="81">AH107-(AL108+AL109)</f>
        <v>-1.6193336646215778E-2</v>
      </c>
      <c r="AM107" t="s">
        <v>58</v>
      </c>
    </row>
    <row r="108" spans="1:39" x14ac:dyDescent="0.2">
      <c r="A108" t="s">
        <v>55</v>
      </c>
      <c r="B108">
        <v>2025</v>
      </c>
      <c r="C108">
        <f t="shared" si="71"/>
        <v>0</v>
      </c>
      <c r="D108">
        <v>1</v>
      </c>
      <c r="E108">
        <v>3</v>
      </c>
      <c r="F108" t="s">
        <v>39</v>
      </c>
      <c r="G108">
        <v>25</v>
      </c>
      <c r="H108">
        <v>20</v>
      </c>
      <c r="I108">
        <f t="shared" si="72"/>
        <v>0.8</v>
      </c>
      <c r="K108">
        <v>4</v>
      </c>
      <c r="M108">
        <v>8</v>
      </c>
      <c r="N108">
        <v>1.8740000000000001</v>
      </c>
      <c r="O108">
        <v>30.741</v>
      </c>
      <c r="P108">
        <f t="shared" si="39"/>
        <v>28.867000000000001</v>
      </c>
      <c r="Q108">
        <v>7.8330000000000002</v>
      </c>
      <c r="R108">
        <f t="shared" si="40"/>
        <v>5.9589999999999996</v>
      </c>
      <c r="S108">
        <f t="shared" si="73"/>
        <v>22.908000000000001</v>
      </c>
      <c r="T108">
        <f t="shared" si="74"/>
        <v>79.357051304257453</v>
      </c>
      <c r="U108">
        <v>12</v>
      </c>
      <c r="V108">
        <v>29.423300000000001</v>
      </c>
      <c r="W108">
        <v>32.313000000000002</v>
      </c>
      <c r="X108">
        <f t="shared" si="75"/>
        <v>2.8897000000000013</v>
      </c>
      <c r="Y108">
        <f t="shared" si="76"/>
        <v>2889.7000000000012</v>
      </c>
      <c r="Z108">
        <v>29.970700000000001</v>
      </c>
      <c r="AA108">
        <f t="shared" si="77"/>
        <v>0.54739999999999966</v>
      </c>
      <c r="AB108">
        <f t="shared" si="41"/>
        <v>547.39999999999964</v>
      </c>
      <c r="AC108">
        <f t="shared" si="78"/>
        <v>2342.3000000000015</v>
      </c>
      <c r="AD108">
        <v>0.21221322224515593</v>
      </c>
      <c r="AE108">
        <f t="shared" si="56"/>
        <v>0.16977057779612476</v>
      </c>
      <c r="AF108">
        <f t="shared" si="57"/>
        <v>81.056857113195164</v>
      </c>
      <c r="AG108">
        <f t="shared" si="79"/>
        <v>31.580468560750255</v>
      </c>
      <c r="AH108">
        <f t="shared" si="80"/>
        <v>5.3614343946309227E-2</v>
      </c>
      <c r="AI108">
        <f t="shared" si="68"/>
        <v>1.3403585986577307</v>
      </c>
      <c r="AJ108" t="s">
        <v>39</v>
      </c>
      <c r="AK108">
        <v>15</v>
      </c>
      <c r="AL108">
        <f t="shared" ref="AL108" si="82">AH108-AH109</f>
        <v>5.3614343946309227E-2</v>
      </c>
    </row>
    <row r="109" spans="1:39" x14ac:dyDescent="0.2">
      <c r="A109" t="s">
        <v>55</v>
      </c>
      <c r="B109">
        <v>2025</v>
      </c>
      <c r="C109">
        <f t="shared" si="71"/>
        <v>0</v>
      </c>
      <c r="D109">
        <v>1</v>
      </c>
      <c r="E109">
        <v>3</v>
      </c>
      <c r="F109" t="s">
        <v>40</v>
      </c>
      <c r="G109">
        <v>10</v>
      </c>
      <c r="H109">
        <v>10</v>
      </c>
      <c r="I109">
        <f t="shared" si="72"/>
        <v>1</v>
      </c>
      <c r="K109">
        <v>4</v>
      </c>
      <c r="M109">
        <v>9</v>
      </c>
      <c r="N109">
        <v>1.8320000000000001</v>
      </c>
      <c r="O109">
        <v>32.436999999999998</v>
      </c>
      <c r="P109">
        <f t="shared" si="39"/>
        <v>30.604999999999997</v>
      </c>
      <c r="Q109">
        <v>6.7889999999999997</v>
      </c>
      <c r="R109">
        <f t="shared" si="40"/>
        <v>4.9569999999999999</v>
      </c>
      <c r="S109">
        <f t="shared" si="73"/>
        <v>25.647999999999996</v>
      </c>
      <c r="T109">
        <f t="shared" si="74"/>
        <v>83.803300114360397</v>
      </c>
      <c r="AJ109" t="s">
        <v>40</v>
      </c>
      <c r="AK109">
        <v>10</v>
      </c>
      <c r="AM109" t="s">
        <v>59</v>
      </c>
    </row>
  </sheetData>
  <autoFilter ref="A1:AM109" xr:uid="{B54EFFEB-0747-E340-9763-42E006C91C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C570-102B-2941-921F-AC02B2EB7FD7}">
  <dimension ref="A1:AM110"/>
  <sheetViews>
    <sheetView tabSelected="1" topLeftCell="Z1" zoomScale="131" workbookViewId="0">
      <pane ySplit="1" topLeftCell="A85" activePane="bottomLeft" state="frozen"/>
      <selection pane="bottomLeft" activeCell="AA112" sqref="AA112"/>
    </sheetView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62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60</v>
      </c>
      <c r="AF1" t="s">
        <v>29</v>
      </c>
      <c r="AG1" t="s">
        <v>30</v>
      </c>
      <c r="AH1" t="s">
        <v>31</v>
      </c>
      <c r="AI1" s="2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2">
      <c r="A2" t="s">
        <v>37</v>
      </c>
      <c r="B2">
        <v>2018</v>
      </c>
      <c r="C2">
        <f t="shared" ref="C2:C29" si="0">2025-B2</f>
        <v>7</v>
      </c>
      <c r="D2">
        <v>1</v>
      </c>
      <c r="E2">
        <v>1</v>
      </c>
      <c r="F2" t="s">
        <v>38</v>
      </c>
      <c r="M2" s="1"/>
      <c r="AI2" s="6"/>
      <c r="AJ2" s="6"/>
      <c r="AK2" s="6"/>
      <c r="AL2" s="6"/>
    </row>
    <row r="3" spans="1:39" x14ac:dyDescent="0.2">
      <c r="A3" t="s">
        <v>37</v>
      </c>
      <c r="B3">
        <v>2018</v>
      </c>
      <c r="C3">
        <f t="shared" si="0"/>
        <v>7</v>
      </c>
      <c r="D3">
        <v>1</v>
      </c>
      <c r="E3">
        <v>1</v>
      </c>
      <c r="F3" t="s">
        <v>39</v>
      </c>
      <c r="G3">
        <v>100</v>
      </c>
      <c r="H3">
        <v>27</v>
      </c>
      <c r="I3">
        <f>H3/G3</f>
        <v>0.27</v>
      </c>
      <c r="L3">
        <v>30</v>
      </c>
      <c r="M3" s="1">
        <v>10</v>
      </c>
      <c r="N3">
        <v>5.14</v>
      </c>
      <c r="O3">
        <v>48.21</v>
      </c>
      <c r="P3">
        <f>O3-N3</f>
        <v>43.07</v>
      </c>
      <c r="Q3">
        <v>31.73</v>
      </c>
      <c r="R3">
        <f>Q3-N3</f>
        <v>26.59</v>
      </c>
      <c r="S3">
        <f>P3-R3</f>
        <v>16.48</v>
      </c>
      <c r="T3">
        <f>((P3-R3)/P3)*100</f>
        <v>38.263292314836313</v>
      </c>
      <c r="U3">
        <v>10</v>
      </c>
      <c r="V3">
        <v>28.59</v>
      </c>
      <c r="W3">
        <v>31.501000000000001</v>
      </c>
      <c r="X3">
        <f>W3-V3</f>
        <v>2.9110000000000014</v>
      </c>
      <c r="Y3">
        <f>X3*1000</f>
        <v>2911.0000000000014</v>
      </c>
      <c r="Z3">
        <v>31.300999999999998</v>
      </c>
      <c r="AA3">
        <f>Z3-V3</f>
        <v>2.7109999999999985</v>
      </c>
      <c r="AB3">
        <f>AA3*1000</f>
        <v>2710.9999999999986</v>
      </c>
      <c r="AC3">
        <f>Y3-AB3</f>
        <v>200.00000000000273</v>
      </c>
      <c r="AD3">
        <v>0.70440106584149909</v>
      </c>
      <c r="AE3">
        <f>AD3*I3</f>
        <v>0.19018828777720476</v>
      </c>
      <c r="AF3">
        <f>((Y3-AB3)/Y3)*100</f>
        <v>6.8704912401237594</v>
      </c>
      <c r="AG3">
        <f>0.36*AF3+2.4</f>
        <v>4.873376846444553</v>
      </c>
      <c r="AH3">
        <f>AE3*(AG3/100)</f>
        <v>9.2685919811836322E-3</v>
      </c>
      <c r="AI3" s="6">
        <f>AH3*AJ3</f>
        <v>0.30864411297341493</v>
      </c>
      <c r="AJ3" s="6">
        <v>33.299999999999997</v>
      </c>
      <c r="AK3" s="6">
        <f>AI3</f>
        <v>0.30864411297341493</v>
      </c>
      <c r="AL3" s="6">
        <f>AK3/AJ3</f>
        <v>9.2685919811836322E-3</v>
      </c>
    </row>
    <row r="4" spans="1:39" x14ac:dyDescent="0.2">
      <c r="A4" t="s">
        <v>37</v>
      </c>
      <c r="B4">
        <v>2018</v>
      </c>
      <c r="C4">
        <f t="shared" si="0"/>
        <v>7</v>
      </c>
      <c r="D4">
        <v>1</v>
      </c>
      <c r="E4">
        <v>1</v>
      </c>
      <c r="F4" t="s">
        <v>40</v>
      </c>
      <c r="G4">
        <v>100</v>
      </c>
      <c r="H4">
        <v>27</v>
      </c>
      <c r="I4">
        <f>H4/G4</f>
        <v>0.27</v>
      </c>
      <c r="L4">
        <v>30</v>
      </c>
      <c r="M4" s="1">
        <v>15</v>
      </c>
      <c r="N4">
        <v>5.13</v>
      </c>
      <c r="O4">
        <v>41</v>
      </c>
      <c r="P4">
        <f>O4-N4</f>
        <v>35.869999999999997</v>
      </c>
      <c r="Q4">
        <v>23.25</v>
      </c>
      <c r="R4">
        <f>Q4-N4</f>
        <v>18.12</v>
      </c>
      <c r="S4">
        <f>P4-R4</f>
        <v>17.749999999999996</v>
      </c>
      <c r="T4">
        <f>((P4-R4)/P4)*100</f>
        <v>49.484248675773621</v>
      </c>
      <c r="U4">
        <v>15</v>
      </c>
      <c r="V4">
        <v>27.856000000000002</v>
      </c>
      <c r="W4">
        <v>30.731000000000002</v>
      </c>
      <c r="X4">
        <f>W4-V4</f>
        <v>2.875</v>
      </c>
      <c r="Y4">
        <f>X4*1000</f>
        <v>2875</v>
      </c>
      <c r="Z4">
        <v>30.305</v>
      </c>
      <c r="AA4">
        <f>Z4-V4</f>
        <v>2.4489999999999981</v>
      </c>
      <c r="AB4">
        <f>AA4*1000</f>
        <v>2448.9999999999982</v>
      </c>
      <c r="AC4">
        <f>Y4-AB4</f>
        <v>426.00000000000182</v>
      </c>
      <c r="AD4">
        <v>0.78573459370935805</v>
      </c>
      <c r="AE4">
        <f t="shared" ref="AE4:AE68" si="1">AD4*I4</f>
        <v>0.21214834030152668</v>
      </c>
      <c r="AF4">
        <f>((Y4-AB4)/Y4)*100</f>
        <v>14.81739130434789</v>
      </c>
      <c r="AG4">
        <f t="shared" ref="AG4:AG6" si="2">0.36*AF4+2.4</f>
        <v>7.7342608695652402</v>
      </c>
      <c r="AH4">
        <f>AE4*(AG4/100)</f>
        <v>1.6408106069373082E-2</v>
      </c>
      <c r="AI4" s="6">
        <f t="shared" ref="AI4:AI29" si="3">AH4*AJ4</f>
        <v>0.54638993211012354</v>
      </c>
      <c r="AJ4" s="6">
        <v>33.299999999999997</v>
      </c>
      <c r="AK4" s="6">
        <f t="shared" ref="AK4:AK29" si="4">AI4</f>
        <v>0.54638993211012354</v>
      </c>
      <c r="AL4" s="6">
        <f t="shared" ref="AL4:AL19" si="5">AK4/AJ4</f>
        <v>1.6408106069373082E-2</v>
      </c>
    </row>
    <row r="5" spans="1:39" x14ac:dyDescent="0.2">
      <c r="A5" t="s">
        <v>37</v>
      </c>
      <c r="B5">
        <v>2018</v>
      </c>
      <c r="C5">
        <f t="shared" ref="C5" si="6">2025-B5</f>
        <v>7</v>
      </c>
      <c r="D5">
        <v>1</v>
      </c>
      <c r="E5">
        <v>1</v>
      </c>
      <c r="F5" t="s">
        <v>63</v>
      </c>
      <c r="G5">
        <f>SUM(G2:G4)/2</f>
        <v>100</v>
      </c>
      <c r="H5">
        <f t="shared" ref="H5:I5" si="7">SUM(H2:H4)/2</f>
        <v>27</v>
      </c>
      <c r="I5">
        <f t="shared" si="7"/>
        <v>0.27</v>
      </c>
      <c r="M5" s="1"/>
      <c r="AD5">
        <f>SUM(AD2:AD4)/2</f>
        <v>0.74506782977542851</v>
      </c>
      <c r="AE5">
        <f>AD5*I5</f>
        <v>0.20116831403936572</v>
      </c>
      <c r="AI5" s="6"/>
      <c r="AJ5" s="6"/>
      <c r="AK5" s="6"/>
      <c r="AL5" s="6"/>
    </row>
    <row r="6" spans="1:39" x14ac:dyDescent="0.2">
      <c r="A6" t="s">
        <v>37</v>
      </c>
      <c r="B6">
        <v>2018</v>
      </c>
      <c r="C6">
        <f t="shared" si="0"/>
        <v>7</v>
      </c>
      <c r="D6">
        <v>1</v>
      </c>
      <c r="E6">
        <v>2</v>
      </c>
      <c r="F6" s="3" t="s">
        <v>41</v>
      </c>
      <c r="G6" s="3">
        <v>100</v>
      </c>
      <c r="H6" s="3">
        <v>30</v>
      </c>
      <c r="I6" s="3">
        <f>H6/G6</f>
        <v>0.3</v>
      </c>
      <c r="J6" s="3"/>
      <c r="K6" s="3"/>
      <c r="L6">
        <v>30</v>
      </c>
      <c r="M6" s="1">
        <v>26</v>
      </c>
      <c r="N6">
        <v>4.99</v>
      </c>
      <c r="O6">
        <v>41.91</v>
      </c>
      <c r="P6">
        <f>O6-N6</f>
        <v>36.919999999999995</v>
      </c>
      <c r="Q6">
        <v>22.33</v>
      </c>
      <c r="R6">
        <f>Q6-N6</f>
        <v>17.339999999999996</v>
      </c>
      <c r="S6">
        <f>P6-R6</f>
        <v>19.579999999999998</v>
      </c>
      <c r="T6">
        <f>((P6-R6)/P6)*100</f>
        <v>53.033586132177682</v>
      </c>
      <c r="U6">
        <v>26</v>
      </c>
      <c r="V6">
        <v>29.137</v>
      </c>
      <c r="W6">
        <v>32.795999999999999</v>
      </c>
      <c r="X6">
        <f>W6-V6</f>
        <v>3.6589999999999989</v>
      </c>
      <c r="Y6">
        <f>X6*1000</f>
        <v>3658.9999999999991</v>
      </c>
      <c r="Z6">
        <v>32.319000000000003</v>
      </c>
      <c r="AA6">
        <f>Z6-V6</f>
        <v>3.1820000000000022</v>
      </c>
      <c r="AB6">
        <f>AA6*1000</f>
        <v>3182.0000000000023</v>
      </c>
      <c r="AC6">
        <f>Y6-AB6</f>
        <v>476.99999999999682</v>
      </c>
      <c r="AD6">
        <v>0.9189406814809622</v>
      </c>
      <c r="AE6">
        <f t="shared" si="1"/>
        <v>0.27568220444428865</v>
      </c>
      <c r="AF6">
        <f>((Y6-AB6)/Y6)*100</f>
        <v>13.03634872916089</v>
      </c>
      <c r="AG6">
        <f t="shared" si="2"/>
        <v>7.0930855424979207</v>
      </c>
      <c r="AH6">
        <f>AE6*(AG6/100)</f>
        <v>1.9554374586677397E-2</v>
      </c>
      <c r="AI6" s="6">
        <f t="shared" si="3"/>
        <v>0.65116067373635722</v>
      </c>
      <c r="AJ6" s="6">
        <v>33.299999999999997</v>
      </c>
      <c r="AK6" s="6">
        <f t="shared" si="4"/>
        <v>0.65116067373635722</v>
      </c>
      <c r="AL6" s="6">
        <f t="shared" si="5"/>
        <v>1.9554374586677397E-2</v>
      </c>
    </row>
    <row r="7" spans="1:39" x14ac:dyDescent="0.2">
      <c r="A7" t="s">
        <v>37</v>
      </c>
      <c r="B7">
        <v>2018</v>
      </c>
      <c r="C7">
        <f t="shared" si="0"/>
        <v>7</v>
      </c>
      <c r="D7">
        <v>1</v>
      </c>
      <c r="E7">
        <v>2</v>
      </c>
      <c r="F7" t="s">
        <v>39</v>
      </c>
      <c r="M7" s="1"/>
      <c r="AI7" s="6"/>
      <c r="AJ7" s="6"/>
      <c r="AK7" s="6"/>
      <c r="AL7" s="6"/>
    </row>
    <row r="8" spans="1:39" x14ac:dyDescent="0.2">
      <c r="A8" t="s">
        <v>37</v>
      </c>
      <c r="B8">
        <v>2018</v>
      </c>
      <c r="C8">
        <f t="shared" si="0"/>
        <v>7</v>
      </c>
      <c r="D8">
        <v>1</v>
      </c>
      <c r="E8">
        <v>2</v>
      </c>
      <c r="F8" t="s">
        <v>40</v>
      </c>
      <c r="G8">
        <v>100</v>
      </c>
      <c r="H8">
        <v>27</v>
      </c>
      <c r="I8">
        <v>0.27</v>
      </c>
      <c r="L8">
        <v>55.4</v>
      </c>
      <c r="M8" s="1">
        <v>28</v>
      </c>
      <c r="N8">
        <v>4.96</v>
      </c>
      <c r="O8">
        <v>69.8</v>
      </c>
      <c r="P8">
        <f t="shared" ref="P8:P21" si="8">O8-N8</f>
        <v>64.84</v>
      </c>
      <c r="Q8">
        <v>44.27</v>
      </c>
      <c r="R8">
        <f t="shared" ref="R8:R21" si="9">Q8-N8</f>
        <v>39.31</v>
      </c>
      <c r="S8">
        <f t="shared" ref="S8:S21" si="10">P8-R8</f>
        <v>25.53</v>
      </c>
      <c r="T8">
        <f t="shared" ref="T8:T21" si="11">((P8-R8)/P8)*100</f>
        <v>39.373843306600861</v>
      </c>
      <c r="U8">
        <v>28</v>
      </c>
      <c r="V8">
        <v>28.417999999999999</v>
      </c>
      <c r="W8">
        <v>32.786999999999999</v>
      </c>
      <c r="X8">
        <f t="shared" ref="X8:X21" si="12">W8-V8</f>
        <v>4.3689999999999998</v>
      </c>
      <c r="Y8">
        <f t="shared" ref="Y8:Y21" si="13">X8*1000</f>
        <v>4369</v>
      </c>
      <c r="Z8">
        <v>32.396999999999998</v>
      </c>
      <c r="AA8">
        <f t="shared" ref="AA8:AA21" si="14">Z8-V8</f>
        <v>3.9789999999999992</v>
      </c>
      <c r="AB8">
        <f t="shared" ref="AB8:AB21" si="15">AA8*1000</f>
        <v>3978.9999999999991</v>
      </c>
      <c r="AC8">
        <f t="shared" ref="AC8:AC21" si="16">Y8-AB8</f>
        <v>390.00000000000091</v>
      </c>
      <c r="AD8">
        <v>0.78573459370935805</v>
      </c>
      <c r="AE8">
        <f t="shared" si="1"/>
        <v>0.21214834030152668</v>
      </c>
      <c r="AF8">
        <f>((Y8-AB8)/Y8)*100</f>
        <v>8.9265278095674283</v>
      </c>
      <c r="AG8">
        <f>0.36*AF8+2.4</f>
        <v>5.613550011444274</v>
      </c>
      <c r="AH8">
        <f t="shared" ref="AH8:AH21" si="17">AE8*(AG8/100)</f>
        <v>1.1909053181275189E-2</v>
      </c>
      <c r="AI8" s="6">
        <f t="shared" si="3"/>
        <v>0.39657147093646372</v>
      </c>
      <c r="AJ8" s="6">
        <v>33.299999999999997</v>
      </c>
      <c r="AK8" s="6">
        <f t="shared" si="4"/>
        <v>0.39657147093646372</v>
      </c>
      <c r="AL8" s="6">
        <f t="shared" si="5"/>
        <v>1.1909053181275189E-2</v>
      </c>
      <c r="AM8" t="s">
        <v>42</v>
      </c>
    </row>
    <row r="9" spans="1:39" x14ac:dyDescent="0.2">
      <c r="A9" t="s">
        <v>37</v>
      </c>
      <c r="B9">
        <v>2018</v>
      </c>
      <c r="C9">
        <f t="shared" si="0"/>
        <v>7</v>
      </c>
      <c r="D9">
        <v>1</v>
      </c>
      <c r="E9">
        <v>3</v>
      </c>
      <c r="F9" s="3" t="s">
        <v>41</v>
      </c>
      <c r="G9">
        <v>100</v>
      </c>
      <c r="H9">
        <v>27</v>
      </c>
      <c r="I9">
        <v>0.27</v>
      </c>
      <c r="L9">
        <v>72.099999999999994</v>
      </c>
      <c r="M9" s="1">
        <v>30</v>
      </c>
      <c r="N9">
        <v>5.03</v>
      </c>
      <c r="O9">
        <v>106.82</v>
      </c>
      <c r="P9">
        <f t="shared" si="8"/>
        <v>101.78999999999999</v>
      </c>
      <c r="Q9">
        <v>47.38</v>
      </c>
      <c r="R9">
        <f t="shared" si="9"/>
        <v>42.35</v>
      </c>
      <c r="S9">
        <f t="shared" si="10"/>
        <v>59.439999999999991</v>
      </c>
      <c r="T9">
        <f t="shared" si="11"/>
        <v>58.394734256803218</v>
      </c>
      <c r="U9">
        <v>30</v>
      </c>
      <c r="V9">
        <v>29.242000000000001</v>
      </c>
      <c r="W9">
        <v>32.277000000000001</v>
      </c>
      <c r="X9">
        <f t="shared" si="12"/>
        <v>3.0350000000000001</v>
      </c>
      <c r="Y9">
        <f t="shared" si="13"/>
        <v>3035</v>
      </c>
      <c r="Z9">
        <v>31.776</v>
      </c>
      <c r="AA9">
        <f t="shared" si="14"/>
        <v>2.5339999999999989</v>
      </c>
      <c r="AB9">
        <f t="shared" si="15"/>
        <v>2533.9999999999991</v>
      </c>
      <c r="AC9">
        <f t="shared" si="16"/>
        <v>501.00000000000091</v>
      </c>
      <c r="AD9">
        <v>0.9189406814809622</v>
      </c>
      <c r="AE9">
        <f t="shared" si="1"/>
        <v>0.24811398399985982</v>
      </c>
      <c r="AF9">
        <f>((Y9-AB9)/Y9)*100</f>
        <v>16.507413509060985</v>
      </c>
      <c r="AG9">
        <f t="shared" ref="AG9:AG29" si="18">0.36*AF9+2.4</f>
        <v>8.3426688632619541</v>
      </c>
      <c r="AH9">
        <f t="shared" si="17"/>
        <v>2.0699328088555052E-2</v>
      </c>
      <c r="AI9" s="6">
        <f t="shared" si="3"/>
        <v>0.68928762534888322</v>
      </c>
      <c r="AJ9" s="6">
        <v>33.299999999999997</v>
      </c>
      <c r="AK9" s="6">
        <f t="shared" si="4"/>
        <v>0.68928762534888322</v>
      </c>
      <c r="AL9" s="6">
        <f t="shared" si="5"/>
        <v>2.0699328088555052E-2</v>
      </c>
    </row>
    <row r="10" spans="1:39" x14ac:dyDescent="0.2">
      <c r="A10" t="s">
        <v>37</v>
      </c>
      <c r="B10">
        <v>2018</v>
      </c>
      <c r="C10">
        <f t="shared" si="0"/>
        <v>7</v>
      </c>
      <c r="D10">
        <v>1</v>
      </c>
      <c r="E10">
        <v>3</v>
      </c>
      <c r="F10" t="s">
        <v>39</v>
      </c>
      <c r="G10">
        <v>100</v>
      </c>
      <c r="H10">
        <v>27</v>
      </c>
      <c r="I10">
        <v>0.27</v>
      </c>
      <c r="L10">
        <v>30</v>
      </c>
      <c r="M10" s="1">
        <v>27</v>
      </c>
      <c r="N10">
        <v>5</v>
      </c>
      <c r="O10">
        <v>36.07</v>
      </c>
      <c r="P10">
        <f t="shared" si="8"/>
        <v>31.07</v>
      </c>
      <c r="Q10">
        <v>18.2</v>
      </c>
      <c r="R10">
        <f t="shared" si="9"/>
        <v>13.2</v>
      </c>
      <c r="S10">
        <f t="shared" si="10"/>
        <v>17.87</v>
      </c>
      <c r="T10">
        <f t="shared" si="11"/>
        <v>57.515288059221113</v>
      </c>
      <c r="U10">
        <v>27</v>
      </c>
      <c r="V10">
        <v>29.591000000000001</v>
      </c>
      <c r="W10">
        <v>33.566000000000003</v>
      </c>
      <c r="X10">
        <f t="shared" si="12"/>
        <v>3.9750000000000014</v>
      </c>
      <c r="Y10">
        <f t="shared" si="13"/>
        <v>3975.0000000000014</v>
      </c>
      <c r="Z10">
        <v>32.86</v>
      </c>
      <c r="AA10">
        <f t="shared" si="14"/>
        <v>3.2689999999999984</v>
      </c>
      <c r="AB10">
        <f t="shared" si="15"/>
        <v>3268.9999999999982</v>
      </c>
      <c r="AC10">
        <f t="shared" si="16"/>
        <v>706.00000000000318</v>
      </c>
      <c r="AD10">
        <v>0.70440106584149909</v>
      </c>
      <c r="AE10">
        <f t="shared" si="1"/>
        <v>0.19018828777720476</v>
      </c>
      <c r="AF10">
        <f>((Y10-AB10)/Y10)*100</f>
        <v>17.761006289308252</v>
      </c>
      <c r="AG10">
        <f t="shared" si="18"/>
        <v>8.79396226415097</v>
      </c>
      <c r="AH10">
        <f t="shared" si="17"/>
        <v>1.6725086257962238E-2</v>
      </c>
      <c r="AI10" s="6">
        <f t="shared" si="3"/>
        <v>0.55694537239014252</v>
      </c>
      <c r="AJ10" s="6">
        <v>33.299999999999997</v>
      </c>
      <c r="AK10" s="6">
        <f t="shared" si="4"/>
        <v>0.55694537239014252</v>
      </c>
      <c r="AL10" s="6">
        <f t="shared" si="5"/>
        <v>1.6725086257962238E-2</v>
      </c>
    </row>
    <row r="11" spans="1:39" x14ac:dyDescent="0.2">
      <c r="A11" t="s">
        <v>37</v>
      </c>
      <c r="B11">
        <v>2018</v>
      </c>
      <c r="C11">
        <f t="shared" si="0"/>
        <v>7</v>
      </c>
      <c r="D11">
        <v>1</v>
      </c>
      <c r="E11">
        <v>3</v>
      </c>
      <c r="F11" t="s">
        <v>40</v>
      </c>
      <c r="G11" s="3">
        <v>100</v>
      </c>
      <c r="H11" s="3">
        <v>30</v>
      </c>
      <c r="I11" s="3">
        <f t="shared" ref="I11:I21" si="19">H11/G11</f>
        <v>0.3</v>
      </c>
      <c r="J11" s="3"/>
      <c r="K11" s="3"/>
      <c r="L11">
        <v>72.099999999999994</v>
      </c>
      <c r="M11" s="1">
        <v>24</v>
      </c>
      <c r="N11">
        <v>5.04</v>
      </c>
      <c r="O11">
        <v>109.07</v>
      </c>
      <c r="P11">
        <f t="shared" si="8"/>
        <v>104.02999999999999</v>
      </c>
      <c r="Q11">
        <v>41.13</v>
      </c>
      <c r="R11">
        <f t="shared" si="9"/>
        <v>36.090000000000003</v>
      </c>
      <c r="S11">
        <f t="shared" si="10"/>
        <v>67.939999999999984</v>
      </c>
      <c r="T11">
        <f t="shared" si="11"/>
        <v>65.308084206478895</v>
      </c>
      <c r="U11">
        <v>24</v>
      </c>
      <c r="V11">
        <v>29.565999999999999</v>
      </c>
      <c r="W11">
        <v>32.936999999999998</v>
      </c>
      <c r="X11">
        <f t="shared" si="12"/>
        <v>3.3709999999999987</v>
      </c>
      <c r="Y11">
        <f t="shared" si="13"/>
        <v>3370.9999999999986</v>
      </c>
      <c r="Z11">
        <v>32.131</v>
      </c>
      <c r="AA11">
        <f t="shared" si="14"/>
        <v>2.5650000000000013</v>
      </c>
      <c r="AB11">
        <f t="shared" si="15"/>
        <v>2565.0000000000014</v>
      </c>
      <c r="AC11">
        <f t="shared" si="16"/>
        <v>805.99999999999727</v>
      </c>
      <c r="AD11">
        <v>0.78573459370935805</v>
      </c>
      <c r="AE11">
        <f t="shared" si="1"/>
        <v>0.23572037811280741</v>
      </c>
      <c r="AF11">
        <f>((Y11-AB11)/Y11)*100</f>
        <v>23.90981904479376</v>
      </c>
      <c r="AG11">
        <f t="shared" si="18"/>
        <v>11.007534856125753</v>
      </c>
      <c r="AH11">
        <f t="shared" si="17"/>
        <v>2.5947002783758697E-2</v>
      </c>
      <c r="AI11" s="6">
        <f t="shared" si="3"/>
        <v>0.86403519269916451</v>
      </c>
      <c r="AJ11" s="6">
        <v>33.299999999999997</v>
      </c>
      <c r="AK11" s="6">
        <f t="shared" si="4"/>
        <v>0.86403519269916451</v>
      </c>
      <c r="AL11" s="6">
        <f t="shared" si="5"/>
        <v>2.5947002783758697E-2</v>
      </c>
    </row>
    <row r="12" spans="1:39" x14ac:dyDescent="0.2">
      <c r="A12" t="s">
        <v>37</v>
      </c>
      <c r="B12">
        <v>2016</v>
      </c>
      <c r="C12">
        <f t="shared" si="0"/>
        <v>9</v>
      </c>
      <c r="D12">
        <v>2</v>
      </c>
      <c r="E12">
        <v>1</v>
      </c>
      <c r="F12" s="3" t="s">
        <v>41</v>
      </c>
      <c r="G12" s="3">
        <v>100</v>
      </c>
      <c r="H12" s="3">
        <v>30</v>
      </c>
      <c r="I12" s="3">
        <f t="shared" si="19"/>
        <v>0.3</v>
      </c>
      <c r="J12" s="3"/>
      <c r="K12" s="3"/>
      <c r="L12">
        <v>30</v>
      </c>
      <c r="M12" s="1">
        <v>17</v>
      </c>
      <c r="N12">
        <v>5.1100000000000003</v>
      </c>
      <c r="O12">
        <v>42.72</v>
      </c>
      <c r="P12">
        <f t="shared" si="8"/>
        <v>37.61</v>
      </c>
      <c r="Q12">
        <v>31.37</v>
      </c>
      <c r="R12">
        <f t="shared" si="9"/>
        <v>26.26</v>
      </c>
      <c r="S12">
        <f t="shared" si="10"/>
        <v>11.349999999999998</v>
      </c>
      <c r="T12">
        <f t="shared" si="11"/>
        <v>30.178144110608873</v>
      </c>
      <c r="U12">
        <v>4</v>
      </c>
      <c r="V12">
        <v>27.8</v>
      </c>
      <c r="W12">
        <v>31.904</v>
      </c>
      <c r="X12">
        <f t="shared" si="12"/>
        <v>4.1039999999999992</v>
      </c>
      <c r="Y12">
        <f t="shared" si="13"/>
        <v>4103.9999999999991</v>
      </c>
      <c r="Z12">
        <v>31.706</v>
      </c>
      <c r="AA12">
        <f t="shared" si="14"/>
        <v>3.9059999999999988</v>
      </c>
      <c r="AB12">
        <f t="shared" si="15"/>
        <v>3905.9999999999986</v>
      </c>
      <c r="AC12">
        <f t="shared" si="16"/>
        <v>198.00000000000045</v>
      </c>
      <c r="AD12">
        <v>0.9189406814809622</v>
      </c>
      <c r="AE12">
        <f t="shared" si="1"/>
        <v>0.27568220444428865</v>
      </c>
      <c r="AF12">
        <f>((Y12-AB12)/Y12)*100</f>
        <v>4.8245614035087838</v>
      </c>
      <c r="AG12">
        <f t="shared" si="18"/>
        <v>4.1368421052631623</v>
      </c>
      <c r="AH12">
        <f t="shared" si="17"/>
        <v>1.1404537510169005E-2</v>
      </c>
      <c r="AI12" s="6">
        <f t="shared" si="3"/>
        <v>0.37977109908862783</v>
      </c>
      <c r="AJ12" s="6">
        <v>33.299999999999997</v>
      </c>
      <c r="AK12" s="6">
        <f t="shared" si="4"/>
        <v>0.37977109908862783</v>
      </c>
      <c r="AL12" s="6">
        <f t="shared" si="5"/>
        <v>1.1404537510169005E-2</v>
      </c>
    </row>
    <row r="13" spans="1:39" x14ac:dyDescent="0.2">
      <c r="A13" t="s">
        <v>37</v>
      </c>
      <c r="B13">
        <v>2016</v>
      </c>
      <c r="C13">
        <f t="shared" si="0"/>
        <v>9</v>
      </c>
      <c r="D13">
        <v>2</v>
      </c>
      <c r="E13">
        <v>1</v>
      </c>
      <c r="F13" t="s">
        <v>39</v>
      </c>
      <c r="M13" s="1"/>
      <c r="AI13" s="6"/>
      <c r="AJ13" s="6"/>
      <c r="AK13" s="6"/>
      <c r="AL13" s="6"/>
    </row>
    <row r="14" spans="1:39" x14ac:dyDescent="0.2">
      <c r="A14" t="s">
        <v>37</v>
      </c>
      <c r="B14">
        <v>2016</v>
      </c>
      <c r="C14">
        <f t="shared" si="0"/>
        <v>9</v>
      </c>
      <c r="D14">
        <v>2</v>
      </c>
      <c r="E14">
        <v>1</v>
      </c>
      <c r="F14" t="s">
        <v>40</v>
      </c>
      <c r="G14" s="3">
        <v>100</v>
      </c>
      <c r="H14" s="3">
        <v>30</v>
      </c>
      <c r="I14" s="3">
        <f t="shared" si="19"/>
        <v>0.3</v>
      </c>
      <c r="J14" s="3"/>
      <c r="K14" s="3"/>
      <c r="L14">
        <v>30</v>
      </c>
      <c r="M14" s="1">
        <v>18</v>
      </c>
      <c r="N14">
        <v>5.07</v>
      </c>
      <c r="O14">
        <v>46.72</v>
      </c>
      <c r="P14">
        <f t="shared" si="8"/>
        <v>41.65</v>
      </c>
      <c r="Q14">
        <v>33.200000000000003</v>
      </c>
      <c r="R14">
        <f t="shared" si="9"/>
        <v>28.130000000000003</v>
      </c>
      <c r="S14">
        <f t="shared" si="10"/>
        <v>13.519999999999996</v>
      </c>
      <c r="T14">
        <f t="shared" si="11"/>
        <v>32.460984393757499</v>
      </c>
      <c r="U14">
        <v>6</v>
      </c>
      <c r="V14">
        <v>30.184000000000001</v>
      </c>
      <c r="W14">
        <v>33.36</v>
      </c>
      <c r="X14">
        <f t="shared" si="12"/>
        <v>3.1759999999999984</v>
      </c>
      <c r="Y14">
        <f t="shared" si="13"/>
        <v>3175.9999999999982</v>
      </c>
      <c r="Z14">
        <v>33.176000000000002</v>
      </c>
      <c r="AA14">
        <f t="shared" si="14"/>
        <v>2.9920000000000009</v>
      </c>
      <c r="AB14">
        <f t="shared" si="15"/>
        <v>2992.0000000000009</v>
      </c>
      <c r="AC14">
        <f t="shared" si="16"/>
        <v>183.99999999999727</v>
      </c>
      <c r="AD14">
        <v>0.78573459370935805</v>
      </c>
      <c r="AE14">
        <f t="shared" si="1"/>
        <v>0.23572037811280741</v>
      </c>
      <c r="AF14">
        <f t="shared" ref="AF14:AF21" si="20">((Y14-AB14)/Y14)*100</f>
        <v>5.7934508816120083</v>
      </c>
      <c r="AG14">
        <f t="shared" si="18"/>
        <v>4.4856423173803233</v>
      </c>
      <c r="AH14">
        <f t="shared" si="17"/>
        <v>1.0573573031316995E-2</v>
      </c>
      <c r="AI14" s="6">
        <f t="shared" si="3"/>
        <v>0.35209998194285591</v>
      </c>
      <c r="AJ14" s="6">
        <v>33.299999999999997</v>
      </c>
      <c r="AK14" s="6">
        <f t="shared" si="4"/>
        <v>0.35209998194285591</v>
      </c>
      <c r="AL14" s="6">
        <f t="shared" si="5"/>
        <v>1.0573573031316995E-2</v>
      </c>
    </row>
    <row r="15" spans="1:39" x14ac:dyDescent="0.2">
      <c r="A15" t="s">
        <v>37</v>
      </c>
      <c r="B15">
        <v>2016</v>
      </c>
      <c r="C15">
        <f t="shared" si="0"/>
        <v>9</v>
      </c>
      <c r="D15">
        <v>2</v>
      </c>
      <c r="E15">
        <v>2</v>
      </c>
      <c r="F15" s="3" t="s">
        <v>41</v>
      </c>
      <c r="G15">
        <v>50</v>
      </c>
      <c r="H15">
        <v>28</v>
      </c>
      <c r="I15">
        <f t="shared" si="19"/>
        <v>0.56000000000000005</v>
      </c>
      <c r="L15">
        <v>30</v>
      </c>
      <c r="M15" s="1">
        <v>25</v>
      </c>
      <c r="N15">
        <v>5.0199999999999996</v>
      </c>
      <c r="O15">
        <v>52.46</v>
      </c>
      <c r="P15">
        <f t="shared" si="8"/>
        <v>47.44</v>
      </c>
      <c r="Q15">
        <v>39.409999999999997</v>
      </c>
      <c r="R15">
        <f t="shared" si="9"/>
        <v>34.39</v>
      </c>
      <c r="S15">
        <f t="shared" si="10"/>
        <v>13.049999999999997</v>
      </c>
      <c r="T15">
        <f t="shared" si="11"/>
        <v>27.508431703204046</v>
      </c>
      <c r="U15">
        <v>25</v>
      </c>
      <c r="V15">
        <v>26.797999999999998</v>
      </c>
      <c r="W15">
        <v>30.773</v>
      </c>
      <c r="X15">
        <f t="shared" si="12"/>
        <v>3.9750000000000014</v>
      </c>
      <c r="Y15">
        <f t="shared" si="13"/>
        <v>3975.0000000000014</v>
      </c>
      <c r="Z15">
        <v>30.59</v>
      </c>
      <c r="AA15">
        <f t="shared" si="14"/>
        <v>3.7920000000000016</v>
      </c>
      <c r="AB15">
        <f t="shared" si="15"/>
        <v>3792.0000000000018</v>
      </c>
      <c r="AC15">
        <f t="shared" si="16"/>
        <v>182.99999999999955</v>
      </c>
      <c r="AD15">
        <v>0.9189406814809622</v>
      </c>
      <c r="AE15">
        <f t="shared" si="1"/>
        <v>0.51460678162933893</v>
      </c>
      <c r="AF15">
        <f t="shared" si="20"/>
        <v>4.6037735849056478</v>
      </c>
      <c r="AG15">
        <f t="shared" si="18"/>
        <v>4.0573584905660329</v>
      </c>
      <c r="AH15">
        <f t="shared" si="17"/>
        <v>2.0879441947466586E-2</v>
      </c>
      <c r="AI15" s="6">
        <f t="shared" si="3"/>
        <v>0.69528541685063727</v>
      </c>
      <c r="AJ15" s="6">
        <v>33.299999999999997</v>
      </c>
      <c r="AK15" s="6">
        <f t="shared" si="4"/>
        <v>0.69528541685063727</v>
      </c>
      <c r="AL15" s="6">
        <f t="shared" si="5"/>
        <v>2.0879441947466586E-2</v>
      </c>
    </row>
    <row r="16" spans="1:39" x14ac:dyDescent="0.2">
      <c r="A16" t="s">
        <v>37</v>
      </c>
      <c r="B16">
        <v>2016</v>
      </c>
      <c r="C16">
        <f t="shared" si="0"/>
        <v>9</v>
      </c>
      <c r="D16">
        <v>2</v>
      </c>
      <c r="E16">
        <v>2</v>
      </c>
      <c r="F16" t="s">
        <v>39</v>
      </c>
      <c r="G16">
        <v>50</v>
      </c>
      <c r="H16">
        <v>28</v>
      </c>
      <c r="I16">
        <f t="shared" si="19"/>
        <v>0.56000000000000005</v>
      </c>
      <c r="L16">
        <v>55.4</v>
      </c>
      <c r="M16" s="1">
        <v>33</v>
      </c>
      <c r="N16">
        <v>4.99</v>
      </c>
      <c r="O16">
        <v>84.92</v>
      </c>
      <c r="P16">
        <f t="shared" si="8"/>
        <v>79.930000000000007</v>
      </c>
      <c r="Q16">
        <v>36.33</v>
      </c>
      <c r="R16">
        <f t="shared" si="9"/>
        <v>31.339999999999996</v>
      </c>
      <c r="S16">
        <f t="shared" si="10"/>
        <v>48.590000000000011</v>
      </c>
      <c r="T16">
        <f t="shared" si="11"/>
        <v>60.79069185537346</v>
      </c>
      <c r="U16">
        <v>33</v>
      </c>
      <c r="V16">
        <v>29.571999999999999</v>
      </c>
      <c r="W16">
        <v>32.755000000000003</v>
      </c>
      <c r="X16">
        <f t="shared" si="12"/>
        <v>3.1830000000000034</v>
      </c>
      <c r="Y16">
        <f t="shared" si="13"/>
        <v>3183.0000000000032</v>
      </c>
      <c r="Z16">
        <v>32.076000000000001</v>
      </c>
      <c r="AA16">
        <f t="shared" si="14"/>
        <v>2.5040000000000013</v>
      </c>
      <c r="AB16">
        <f t="shared" si="15"/>
        <v>2504.0000000000014</v>
      </c>
      <c r="AC16">
        <f>Y16-AB16</f>
        <v>679.00000000000182</v>
      </c>
      <c r="AD16">
        <v>0.70440106584149909</v>
      </c>
      <c r="AE16">
        <f t="shared" si="1"/>
        <v>0.39446459687123953</v>
      </c>
      <c r="AF16">
        <f t="shared" si="20"/>
        <v>21.332076657241632</v>
      </c>
      <c r="AG16">
        <f t="shared" si="18"/>
        <v>10.079547596606988</v>
      </c>
      <c r="AH16">
        <f t="shared" si="17"/>
        <v>3.9760246793400462E-2</v>
      </c>
      <c r="AI16" s="6">
        <f t="shared" si="3"/>
        <v>1.3240162182202353</v>
      </c>
      <c r="AJ16" s="6">
        <v>33.299999999999997</v>
      </c>
      <c r="AK16" s="6">
        <f t="shared" si="4"/>
        <v>1.3240162182202353</v>
      </c>
      <c r="AL16" s="6">
        <f t="shared" si="5"/>
        <v>3.9760246793400462E-2</v>
      </c>
    </row>
    <row r="17" spans="1:38" x14ac:dyDescent="0.2">
      <c r="A17" t="s">
        <v>37</v>
      </c>
      <c r="B17">
        <v>2016</v>
      </c>
      <c r="C17">
        <f t="shared" si="0"/>
        <v>9</v>
      </c>
      <c r="D17">
        <v>2</v>
      </c>
      <c r="E17">
        <v>2</v>
      </c>
      <c r="F17" t="s">
        <v>40</v>
      </c>
      <c r="G17">
        <v>50</v>
      </c>
      <c r="H17">
        <v>28</v>
      </c>
      <c r="I17">
        <f t="shared" si="19"/>
        <v>0.56000000000000005</v>
      </c>
      <c r="L17">
        <v>30</v>
      </c>
      <c r="M17" s="1">
        <v>23</v>
      </c>
      <c r="N17">
        <v>5.1100000000000003</v>
      </c>
      <c r="O17">
        <v>52.15</v>
      </c>
      <c r="P17">
        <f t="shared" si="8"/>
        <v>47.04</v>
      </c>
      <c r="Q17">
        <v>35.83</v>
      </c>
      <c r="R17">
        <f t="shared" si="9"/>
        <v>30.72</v>
      </c>
      <c r="S17">
        <f t="shared" si="10"/>
        <v>16.32</v>
      </c>
      <c r="T17">
        <f t="shared" si="11"/>
        <v>34.693877551020407</v>
      </c>
      <c r="U17">
        <v>23</v>
      </c>
      <c r="V17">
        <v>28.367999999999999</v>
      </c>
      <c r="W17">
        <v>32.122999999999998</v>
      </c>
      <c r="X17">
        <f t="shared" si="12"/>
        <v>3.754999999999999</v>
      </c>
      <c r="Y17">
        <f t="shared" si="13"/>
        <v>3754.9999999999991</v>
      </c>
      <c r="Z17">
        <v>31.834</v>
      </c>
      <c r="AA17">
        <f t="shared" si="14"/>
        <v>3.4660000000000011</v>
      </c>
      <c r="AB17">
        <f t="shared" si="15"/>
        <v>3466.0000000000009</v>
      </c>
      <c r="AC17">
        <f t="shared" si="16"/>
        <v>288.99999999999818</v>
      </c>
      <c r="AD17">
        <v>0.78573459370935805</v>
      </c>
      <c r="AE17">
        <f t="shared" si="1"/>
        <v>0.44001137247724054</v>
      </c>
      <c r="AF17">
        <f t="shared" si="20"/>
        <v>7.6964047936084761</v>
      </c>
      <c r="AG17">
        <f t="shared" si="18"/>
        <v>5.170705725699051</v>
      </c>
      <c r="AH17">
        <f t="shared" si="17"/>
        <v>2.2751693230407655E-2</v>
      </c>
      <c r="AI17" s="6">
        <f t="shared" si="3"/>
        <v>0.75763138457257484</v>
      </c>
      <c r="AJ17" s="6">
        <v>33.299999999999997</v>
      </c>
      <c r="AK17" s="6">
        <f t="shared" si="4"/>
        <v>0.75763138457257484</v>
      </c>
      <c r="AL17" s="6">
        <f t="shared" si="5"/>
        <v>2.2751693230407655E-2</v>
      </c>
    </row>
    <row r="18" spans="1:38" x14ac:dyDescent="0.2">
      <c r="A18" t="s">
        <v>37</v>
      </c>
      <c r="B18">
        <v>2016</v>
      </c>
      <c r="C18">
        <f t="shared" si="0"/>
        <v>9</v>
      </c>
      <c r="D18">
        <v>2</v>
      </c>
      <c r="E18">
        <v>3</v>
      </c>
      <c r="F18" t="s">
        <v>41</v>
      </c>
      <c r="G18">
        <v>100</v>
      </c>
      <c r="H18">
        <v>30</v>
      </c>
      <c r="I18">
        <f t="shared" si="19"/>
        <v>0.3</v>
      </c>
      <c r="L18">
        <v>30</v>
      </c>
      <c r="M18" s="1">
        <v>8</v>
      </c>
      <c r="N18">
        <v>5.17</v>
      </c>
      <c r="O18">
        <v>49.43</v>
      </c>
      <c r="P18">
        <f t="shared" si="8"/>
        <v>44.26</v>
      </c>
      <c r="Q18">
        <v>38.299999999999997</v>
      </c>
      <c r="R18">
        <f t="shared" si="9"/>
        <v>33.129999999999995</v>
      </c>
      <c r="S18">
        <f t="shared" si="10"/>
        <v>11.130000000000003</v>
      </c>
      <c r="T18">
        <f t="shared" si="11"/>
        <v>25.146859466787173</v>
      </c>
      <c r="U18">
        <v>8</v>
      </c>
      <c r="V18">
        <v>27.364000000000001</v>
      </c>
      <c r="W18">
        <v>30.826000000000001</v>
      </c>
      <c r="X18">
        <f t="shared" si="12"/>
        <v>3.4619999999999997</v>
      </c>
      <c r="Y18">
        <f t="shared" si="13"/>
        <v>3461.9999999999995</v>
      </c>
      <c r="Z18">
        <v>30.695</v>
      </c>
      <c r="AA18">
        <f t="shared" si="14"/>
        <v>3.3309999999999995</v>
      </c>
      <c r="AB18">
        <f t="shared" si="15"/>
        <v>3330.9999999999995</v>
      </c>
      <c r="AC18">
        <f t="shared" si="16"/>
        <v>131</v>
      </c>
      <c r="AD18">
        <v>0.9189406814809622</v>
      </c>
      <c r="AE18">
        <f t="shared" si="1"/>
        <v>0.27568220444428865</v>
      </c>
      <c r="AF18">
        <f t="shared" si="20"/>
        <v>3.7839399191218952</v>
      </c>
      <c r="AG18">
        <f t="shared" si="18"/>
        <v>3.7622183708838821</v>
      </c>
      <c r="AH18">
        <f t="shared" si="17"/>
        <v>1.0371766540860691E-2</v>
      </c>
      <c r="AI18" s="6">
        <f t="shared" si="3"/>
        <v>0.34537982581066096</v>
      </c>
      <c r="AJ18" s="6">
        <v>33.299999999999997</v>
      </c>
      <c r="AK18" s="6">
        <f t="shared" si="4"/>
        <v>0.34537982581066096</v>
      </c>
      <c r="AL18" s="6">
        <f t="shared" si="5"/>
        <v>1.0371766540860691E-2</v>
      </c>
    </row>
    <row r="19" spans="1:38" x14ac:dyDescent="0.2">
      <c r="A19" t="s">
        <v>37</v>
      </c>
      <c r="B19">
        <v>2016</v>
      </c>
      <c r="C19">
        <f t="shared" si="0"/>
        <v>9</v>
      </c>
      <c r="D19">
        <v>2</v>
      </c>
      <c r="E19">
        <v>3</v>
      </c>
      <c r="F19" t="s">
        <v>39</v>
      </c>
      <c r="G19">
        <v>100</v>
      </c>
      <c r="H19">
        <v>30</v>
      </c>
      <c r="I19">
        <f t="shared" si="19"/>
        <v>0.3</v>
      </c>
      <c r="L19">
        <v>30</v>
      </c>
      <c r="M19" s="1">
        <v>12</v>
      </c>
      <c r="N19">
        <v>5.13</v>
      </c>
      <c r="O19">
        <v>49.95</v>
      </c>
      <c r="P19">
        <f t="shared" si="8"/>
        <v>44.82</v>
      </c>
      <c r="Q19">
        <v>37.15</v>
      </c>
      <c r="R19">
        <f t="shared" si="9"/>
        <v>32.019999999999996</v>
      </c>
      <c r="S19">
        <f t="shared" si="10"/>
        <v>12.800000000000004</v>
      </c>
      <c r="T19">
        <f t="shared" si="11"/>
        <v>28.558679161088808</v>
      </c>
      <c r="U19">
        <v>12</v>
      </c>
      <c r="V19">
        <v>29.442</v>
      </c>
      <c r="W19">
        <v>33.572000000000003</v>
      </c>
      <c r="X19">
        <f t="shared" si="12"/>
        <v>4.1300000000000026</v>
      </c>
      <c r="Y19">
        <f t="shared" si="13"/>
        <v>4130.0000000000027</v>
      </c>
      <c r="Z19">
        <v>33.392000000000003</v>
      </c>
      <c r="AA19">
        <f t="shared" si="14"/>
        <v>3.9500000000000028</v>
      </c>
      <c r="AB19">
        <f t="shared" si="15"/>
        <v>3950.0000000000027</v>
      </c>
      <c r="AC19">
        <f t="shared" si="16"/>
        <v>180</v>
      </c>
      <c r="AD19">
        <v>0.70440106584149909</v>
      </c>
      <c r="AE19">
        <f t="shared" si="1"/>
        <v>0.21132031975244972</v>
      </c>
      <c r="AF19">
        <f t="shared" si="20"/>
        <v>4.3583535108958804</v>
      </c>
      <c r="AG19">
        <f t="shared" si="18"/>
        <v>3.9690072639225171</v>
      </c>
      <c r="AH19">
        <f t="shared" si="17"/>
        <v>8.3873188411190194E-3</v>
      </c>
      <c r="AI19" s="6">
        <f t="shared" si="3"/>
        <v>0.27929771740926335</v>
      </c>
      <c r="AJ19" s="6">
        <v>33.299999999999997</v>
      </c>
      <c r="AK19" s="6">
        <f t="shared" si="4"/>
        <v>0.27929771740926335</v>
      </c>
      <c r="AL19" s="6">
        <f t="shared" si="5"/>
        <v>8.3873188411190194E-3</v>
      </c>
    </row>
    <row r="20" spans="1:38" x14ac:dyDescent="0.2">
      <c r="A20" t="s">
        <v>37</v>
      </c>
      <c r="B20">
        <v>2016</v>
      </c>
      <c r="C20">
        <f t="shared" si="0"/>
        <v>9</v>
      </c>
      <c r="D20">
        <v>2</v>
      </c>
      <c r="E20">
        <v>3</v>
      </c>
      <c r="F20" t="s">
        <v>40</v>
      </c>
      <c r="G20">
        <v>100</v>
      </c>
      <c r="H20">
        <v>30</v>
      </c>
      <c r="I20">
        <f t="shared" si="19"/>
        <v>0.3</v>
      </c>
      <c r="L20">
        <v>30</v>
      </c>
      <c r="M20" s="1">
        <v>11</v>
      </c>
      <c r="N20">
        <v>5.14</v>
      </c>
      <c r="O20">
        <v>41.1</v>
      </c>
      <c r="P20">
        <f t="shared" si="8"/>
        <v>35.96</v>
      </c>
      <c r="Q20">
        <v>23.24</v>
      </c>
      <c r="R20">
        <f t="shared" si="9"/>
        <v>18.099999999999998</v>
      </c>
      <c r="S20">
        <f t="shared" si="10"/>
        <v>17.860000000000003</v>
      </c>
      <c r="T20">
        <f t="shared" si="11"/>
        <v>49.666295884315915</v>
      </c>
      <c r="U20">
        <v>11</v>
      </c>
      <c r="V20">
        <v>27.460999999999999</v>
      </c>
      <c r="W20">
        <v>31.6</v>
      </c>
      <c r="X20">
        <f t="shared" si="12"/>
        <v>4.1390000000000029</v>
      </c>
      <c r="Y20">
        <f t="shared" si="13"/>
        <v>4139.0000000000027</v>
      </c>
      <c r="Z20">
        <v>31.085999999999999</v>
      </c>
      <c r="AA20">
        <f t="shared" si="14"/>
        <v>3.625</v>
      </c>
      <c r="AB20">
        <f t="shared" si="15"/>
        <v>3625</v>
      </c>
      <c r="AC20">
        <f t="shared" si="16"/>
        <v>514.00000000000273</v>
      </c>
      <c r="AD20">
        <v>0.78573459370935805</v>
      </c>
      <c r="AE20">
        <f t="shared" si="1"/>
        <v>0.23572037811280741</v>
      </c>
      <c r="AF20">
        <f t="shared" si="20"/>
        <v>12.418458564870798</v>
      </c>
      <c r="AG20">
        <f t="shared" si="18"/>
        <v>6.8706450833534873</v>
      </c>
      <c r="AH20">
        <f t="shared" si="17"/>
        <v>1.619551056926985E-2</v>
      </c>
      <c r="AI20" s="6">
        <f t="shared" si="3"/>
        <v>0.53931050195668595</v>
      </c>
      <c r="AJ20" s="6">
        <v>33.299999999999997</v>
      </c>
      <c r="AK20" s="6">
        <f t="shared" si="4"/>
        <v>0.53931050195668595</v>
      </c>
      <c r="AL20" s="6">
        <f>AK20/AJ20</f>
        <v>1.619551056926985E-2</v>
      </c>
    </row>
    <row r="21" spans="1:38" x14ac:dyDescent="0.2">
      <c r="A21" t="s">
        <v>37</v>
      </c>
      <c r="B21">
        <v>2022</v>
      </c>
      <c r="C21">
        <f t="shared" si="0"/>
        <v>3</v>
      </c>
      <c r="D21">
        <v>3</v>
      </c>
      <c r="E21">
        <v>1</v>
      </c>
      <c r="F21" s="3" t="s">
        <v>41</v>
      </c>
      <c r="G21">
        <v>100</v>
      </c>
      <c r="H21">
        <v>40</v>
      </c>
      <c r="I21">
        <f t="shared" si="19"/>
        <v>0.4</v>
      </c>
      <c r="L21">
        <v>30</v>
      </c>
      <c r="M21" s="1">
        <v>16</v>
      </c>
      <c r="N21">
        <v>5.09</v>
      </c>
      <c r="O21">
        <v>50.03</v>
      </c>
      <c r="P21">
        <f t="shared" si="8"/>
        <v>44.94</v>
      </c>
      <c r="Q21">
        <v>36.53</v>
      </c>
      <c r="R21">
        <f t="shared" si="9"/>
        <v>31.44</v>
      </c>
      <c r="S21">
        <f t="shared" si="10"/>
        <v>13.499999999999996</v>
      </c>
      <c r="T21">
        <f t="shared" si="11"/>
        <v>30.040053404539378</v>
      </c>
      <c r="U21">
        <v>16</v>
      </c>
      <c r="V21">
        <v>28.471</v>
      </c>
      <c r="W21">
        <v>31.635000000000002</v>
      </c>
      <c r="X21">
        <f t="shared" si="12"/>
        <v>3.1640000000000015</v>
      </c>
      <c r="Y21">
        <f t="shared" si="13"/>
        <v>3164.0000000000014</v>
      </c>
      <c r="Z21">
        <v>31.495000000000001</v>
      </c>
      <c r="AA21">
        <f t="shared" si="14"/>
        <v>3.0240000000000009</v>
      </c>
      <c r="AB21">
        <f t="shared" si="15"/>
        <v>3024.0000000000009</v>
      </c>
      <c r="AC21">
        <f t="shared" si="16"/>
        <v>140.00000000000045</v>
      </c>
      <c r="AD21">
        <v>0.9189406814809622</v>
      </c>
      <c r="AE21">
        <f t="shared" si="1"/>
        <v>0.3675762725923849</v>
      </c>
      <c r="AF21">
        <f t="shared" si="20"/>
        <v>4.4247787610619591</v>
      </c>
      <c r="AG21">
        <f t="shared" si="18"/>
        <v>3.992920353982305</v>
      </c>
      <c r="AH21">
        <f t="shared" si="17"/>
        <v>1.4677027804750819E-2</v>
      </c>
      <c r="AI21" s="6">
        <f t="shared" si="3"/>
        <v>0.48874502589820223</v>
      </c>
      <c r="AJ21" s="6">
        <v>33.299999999999997</v>
      </c>
      <c r="AK21" s="6">
        <f t="shared" si="4"/>
        <v>0.48874502589820223</v>
      </c>
      <c r="AL21" s="6">
        <f t="shared" ref="AL21:AL29" si="21">AK21/AJ21</f>
        <v>1.4677027804750819E-2</v>
      </c>
    </row>
    <row r="22" spans="1:38" x14ac:dyDescent="0.2">
      <c r="A22" t="s">
        <v>37</v>
      </c>
      <c r="B22">
        <v>2022</v>
      </c>
      <c r="C22">
        <f t="shared" si="0"/>
        <v>3</v>
      </c>
      <c r="D22">
        <v>3</v>
      </c>
      <c r="E22">
        <v>1</v>
      </c>
      <c r="F22" t="s">
        <v>39</v>
      </c>
      <c r="M22" s="1"/>
      <c r="AI22" s="6"/>
      <c r="AJ22" s="6"/>
      <c r="AK22" s="6"/>
      <c r="AL22" s="6"/>
    </row>
    <row r="23" spans="1:38" x14ac:dyDescent="0.2">
      <c r="A23" t="s">
        <v>37</v>
      </c>
      <c r="B23">
        <v>2022</v>
      </c>
      <c r="C23">
        <f t="shared" si="0"/>
        <v>3</v>
      </c>
      <c r="D23">
        <v>3</v>
      </c>
      <c r="E23">
        <v>1</v>
      </c>
      <c r="F23" t="s">
        <v>40</v>
      </c>
      <c r="G23">
        <v>100</v>
      </c>
      <c r="H23">
        <v>40</v>
      </c>
      <c r="I23">
        <f t="shared" ref="I23:I29" si="22">H23/G23</f>
        <v>0.4</v>
      </c>
      <c r="L23">
        <v>30</v>
      </c>
      <c r="M23" s="1">
        <v>20</v>
      </c>
      <c r="N23">
        <v>5.0999999999999996</v>
      </c>
      <c r="O23">
        <v>50.57</v>
      </c>
      <c r="P23">
        <f t="shared" ref="P23:P29" si="23">O23-N23</f>
        <v>45.47</v>
      </c>
      <c r="Q23">
        <v>33.85</v>
      </c>
      <c r="R23">
        <f t="shared" ref="R23:R29" si="24">Q23-N23</f>
        <v>28.75</v>
      </c>
      <c r="S23">
        <f t="shared" ref="S23:S29" si="25">P23-R23</f>
        <v>16.72</v>
      </c>
      <c r="T23">
        <f t="shared" ref="T23:T29" si="26">((P23-R23)/P23)*100</f>
        <v>36.771497690785132</v>
      </c>
      <c r="U23">
        <v>20</v>
      </c>
      <c r="V23">
        <v>28.547000000000001</v>
      </c>
      <c r="W23">
        <v>32.195</v>
      </c>
      <c r="X23">
        <f t="shared" ref="X23:X29" si="27">W23-V23</f>
        <v>3.6479999999999997</v>
      </c>
      <c r="Y23">
        <f t="shared" ref="Y23:Y29" si="28">X23*1000</f>
        <v>3647.9999999999995</v>
      </c>
      <c r="Z23">
        <v>31.957000000000001</v>
      </c>
      <c r="AA23">
        <f t="shared" ref="AA23:AA29" si="29">Z23-V23</f>
        <v>3.41</v>
      </c>
      <c r="AB23">
        <f t="shared" ref="AB23:AB29" si="30">AA23*1000</f>
        <v>3410</v>
      </c>
      <c r="AC23">
        <f t="shared" ref="AC23:AC29" si="31">Y23-AB23</f>
        <v>237.99999999999955</v>
      </c>
      <c r="AD23">
        <v>0.78573459370935805</v>
      </c>
      <c r="AE23">
        <f t="shared" si="1"/>
        <v>0.31429383748374323</v>
      </c>
      <c r="AF23">
        <f t="shared" ref="AF23:AF29" si="32">((Y23-AB23)/Y23)*100</f>
        <v>6.5241228070175321</v>
      </c>
      <c r="AG23">
        <f t="shared" si="18"/>
        <v>4.7486842105263118</v>
      </c>
      <c r="AH23">
        <f t="shared" ref="AH23:AH29" si="33">AE23*(AG23/100)</f>
        <v>1.4924821835247742E-2</v>
      </c>
      <c r="AI23" s="6">
        <f t="shared" si="3"/>
        <v>0.49699656711374979</v>
      </c>
      <c r="AJ23" s="6">
        <v>33.299999999999997</v>
      </c>
      <c r="AK23" s="6">
        <f t="shared" si="4"/>
        <v>0.49699656711374979</v>
      </c>
      <c r="AL23" s="6">
        <f t="shared" si="21"/>
        <v>1.4924821835247742E-2</v>
      </c>
    </row>
    <row r="24" spans="1:38" x14ac:dyDescent="0.2">
      <c r="A24" t="s">
        <v>37</v>
      </c>
      <c r="B24">
        <v>2022</v>
      </c>
      <c r="C24">
        <f t="shared" si="0"/>
        <v>3</v>
      </c>
      <c r="D24">
        <v>3</v>
      </c>
      <c r="E24">
        <v>2</v>
      </c>
      <c r="F24" s="3" t="s">
        <v>41</v>
      </c>
      <c r="G24">
        <v>100</v>
      </c>
      <c r="H24">
        <v>40</v>
      </c>
      <c r="I24">
        <f t="shared" si="22"/>
        <v>0.4</v>
      </c>
      <c r="L24">
        <v>55.4</v>
      </c>
      <c r="M24" s="1">
        <v>32</v>
      </c>
      <c r="N24">
        <v>5</v>
      </c>
      <c r="O24">
        <v>93.98</v>
      </c>
      <c r="P24">
        <f t="shared" si="23"/>
        <v>88.98</v>
      </c>
      <c r="Q24">
        <v>67.13</v>
      </c>
      <c r="R24">
        <f t="shared" si="24"/>
        <v>62.129999999999995</v>
      </c>
      <c r="S24">
        <f t="shared" si="25"/>
        <v>26.850000000000009</v>
      </c>
      <c r="T24">
        <f t="shared" si="26"/>
        <v>30.175320296695894</v>
      </c>
      <c r="U24">
        <v>32</v>
      </c>
      <c r="V24">
        <v>27.739000000000001</v>
      </c>
      <c r="W24">
        <v>31.704000000000001</v>
      </c>
      <c r="X24">
        <f t="shared" si="27"/>
        <v>3.9649999999999999</v>
      </c>
      <c r="Y24">
        <f t="shared" si="28"/>
        <v>3965</v>
      </c>
      <c r="Z24">
        <v>31.52</v>
      </c>
      <c r="AA24">
        <f t="shared" si="29"/>
        <v>3.7809999999999988</v>
      </c>
      <c r="AB24">
        <f t="shared" si="30"/>
        <v>3780.9999999999986</v>
      </c>
      <c r="AC24">
        <f t="shared" si="31"/>
        <v>184.00000000000136</v>
      </c>
      <c r="AD24">
        <v>0.9189406814809622</v>
      </c>
      <c r="AE24">
        <f t="shared" si="1"/>
        <v>0.3675762725923849</v>
      </c>
      <c r="AF24">
        <f t="shared" si="32"/>
        <v>4.6406052963430362</v>
      </c>
      <c r="AG24">
        <f t="shared" si="18"/>
        <v>4.0706179066834931</v>
      </c>
      <c r="AH24">
        <f t="shared" si="33"/>
        <v>1.4962625572865347E-2</v>
      </c>
      <c r="AI24" s="6">
        <f t="shared" si="3"/>
        <v>0.49825543157641605</v>
      </c>
      <c r="AJ24" s="6">
        <v>33.299999999999997</v>
      </c>
      <c r="AK24" s="6">
        <f t="shared" si="4"/>
        <v>0.49825543157641605</v>
      </c>
      <c r="AL24" s="6">
        <f t="shared" si="21"/>
        <v>1.4962625572865347E-2</v>
      </c>
    </row>
    <row r="25" spans="1:38" x14ac:dyDescent="0.2">
      <c r="A25" t="s">
        <v>37</v>
      </c>
      <c r="B25">
        <v>2022</v>
      </c>
      <c r="C25">
        <f t="shared" si="0"/>
        <v>3</v>
      </c>
      <c r="D25">
        <v>3</v>
      </c>
      <c r="E25">
        <v>2</v>
      </c>
      <c r="F25" t="s">
        <v>39</v>
      </c>
      <c r="G25">
        <v>100</v>
      </c>
      <c r="H25">
        <v>40</v>
      </c>
      <c r="I25">
        <f t="shared" si="22"/>
        <v>0.4</v>
      </c>
      <c r="L25">
        <v>30</v>
      </c>
      <c r="M25" s="1">
        <v>13</v>
      </c>
      <c r="N25">
        <v>5.14</v>
      </c>
      <c r="O25">
        <v>43.77</v>
      </c>
      <c r="P25">
        <f t="shared" si="23"/>
        <v>38.630000000000003</v>
      </c>
      <c r="Q25">
        <v>26.79</v>
      </c>
      <c r="R25">
        <f t="shared" si="24"/>
        <v>21.65</v>
      </c>
      <c r="S25">
        <f t="shared" si="25"/>
        <v>16.980000000000004</v>
      </c>
      <c r="T25">
        <f t="shared" si="26"/>
        <v>43.955475019414969</v>
      </c>
      <c r="U25">
        <v>13</v>
      </c>
      <c r="V25">
        <v>22.212</v>
      </c>
      <c r="W25">
        <v>25.902999999999999</v>
      </c>
      <c r="X25">
        <f t="shared" si="27"/>
        <v>3.6909999999999989</v>
      </c>
      <c r="Y25">
        <f t="shared" si="28"/>
        <v>3690.9999999999991</v>
      </c>
      <c r="Z25">
        <v>25.577999999999999</v>
      </c>
      <c r="AA25">
        <f t="shared" si="29"/>
        <v>3.3659999999999997</v>
      </c>
      <c r="AB25">
        <f t="shared" si="30"/>
        <v>3365.9999999999995</v>
      </c>
      <c r="AC25">
        <f t="shared" si="31"/>
        <v>324.99999999999955</v>
      </c>
      <c r="AD25">
        <v>0.70440106584149909</v>
      </c>
      <c r="AE25">
        <f t="shared" si="1"/>
        <v>0.28176042633659965</v>
      </c>
      <c r="AF25">
        <f t="shared" si="32"/>
        <v>8.8052018423191445</v>
      </c>
      <c r="AG25">
        <f t="shared" si="18"/>
        <v>5.5698726632348912</v>
      </c>
      <c r="AH25">
        <f t="shared" si="33"/>
        <v>1.5693696962336346E-2</v>
      </c>
      <c r="AI25" s="6">
        <f t="shared" si="3"/>
        <v>0.52260010884580033</v>
      </c>
      <c r="AJ25" s="6">
        <v>33.299999999999997</v>
      </c>
      <c r="AK25" s="6">
        <f t="shared" si="4"/>
        <v>0.52260010884580033</v>
      </c>
      <c r="AL25" s="6">
        <f t="shared" si="21"/>
        <v>1.5693696962336346E-2</v>
      </c>
    </row>
    <row r="26" spans="1:38" x14ac:dyDescent="0.2">
      <c r="A26" t="s">
        <v>37</v>
      </c>
      <c r="B26">
        <v>2022</v>
      </c>
      <c r="C26">
        <f t="shared" si="0"/>
        <v>3</v>
      </c>
      <c r="D26">
        <v>3</v>
      </c>
      <c r="E26">
        <v>2</v>
      </c>
      <c r="F26" t="s">
        <v>40</v>
      </c>
      <c r="G26">
        <v>100</v>
      </c>
      <c r="H26">
        <v>40</v>
      </c>
      <c r="I26">
        <f t="shared" si="22"/>
        <v>0.4</v>
      </c>
      <c r="L26">
        <v>55.4</v>
      </c>
      <c r="M26" s="1">
        <v>29</v>
      </c>
      <c r="N26">
        <v>5.03</v>
      </c>
      <c r="O26">
        <v>96.59</v>
      </c>
      <c r="P26">
        <f t="shared" si="23"/>
        <v>91.56</v>
      </c>
      <c r="Q26">
        <v>59.7</v>
      </c>
      <c r="R26">
        <f t="shared" si="24"/>
        <v>54.67</v>
      </c>
      <c r="S26">
        <f t="shared" si="25"/>
        <v>36.89</v>
      </c>
      <c r="T26">
        <f t="shared" si="26"/>
        <v>40.290519877675841</v>
      </c>
      <c r="U26">
        <v>29</v>
      </c>
      <c r="V26">
        <v>28.353000000000002</v>
      </c>
      <c r="W26">
        <v>32.344000000000001</v>
      </c>
      <c r="X26">
        <f t="shared" si="27"/>
        <v>3.9909999999999997</v>
      </c>
      <c r="Y26">
        <f t="shared" si="28"/>
        <v>3990.9999999999995</v>
      </c>
      <c r="Z26">
        <v>31.986000000000001</v>
      </c>
      <c r="AA26">
        <f t="shared" si="29"/>
        <v>3.6329999999999991</v>
      </c>
      <c r="AB26">
        <f t="shared" si="30"/>
        <v>3632.9999999999991</v>
      </c>
      <c r="AC26">
        <f t="shared" si="31"/>
        <v>358.00000000000045</v>
      </c>
      <c r="AD26">
        <v>0.78573459370935805</v>
      </c>
      <c r="AE26">
        <f t="shared" si="1"/>
        <v>0.31429383748374323</v>
      </c>
      <c r="AF26">
        <f t="shared" si="32"/>
        <v>8.9701829115510012</v>
      </c>
      <c r="AG26">
        <f t="shared" si="18"/>
        <v>5.6292658481583597</v>
      </c>
      <c r="AH26">
        <f t="shared" si="33"/>
        <v>1.7692435656338695E-2</v>
      </c>
      <c r="AI26" s="6">
        <f t="shared" si="3"/>
        <v>0.58915810735607843</v>
      </c>
      <c r="AJ26" s="6">
        <v>33.299999999999997</v>
      </c>
      <c r="AK26" s="6">
        <f t="shared" si="4"/>
        <v>0.58915810735607843</v>
      </c>
      <c r="AL26" s="6">
        <f t="shared" si="21"/>
        <v>1.7692435656338695E-2</v>
      </c>
    </row>
    <row r="27" spans="1:38" x14ac:dyDescent="0.2">
      <c r="A27" t="s">
        <v>37</v>
      </c>
      <c r="B27">
        <v>2022</v>
      </c>
      <c r="C27">
        <f t="shared" si="0"/>
        <v>3</v>
      </c>
      <c r="D27">
        <v>3</v>
      </c>
      <c r="E27">
        <v>3</v>
      </c>
      <c r="F27" s="3" t="s">
        <v>41</v>
      </c>
      <c r="G27">
        <v>100</v>
      </c>
      <c r="H27">
        <v>40</v>
      </c>
      <c r="I27">
        <f t="shared" si="22"/>
        <v>0.4</v>
      </c>
      <c r="L27">
        <v>30</v>
      </c>
      <c r="M27" s="1">
        <v>22</v>
      </c>
      <c r="N27">
        <v>5.04</v>
      </c>
      <c r="O27">
        <v>46.38</v>
      </c>
      <c r="P27">
        <f t="shared" si="23"/>
        <v>41.34</v>
      </c>
      <c r="Q27">
        <v>31.76</v>
      </c>
      <c r="R27">
        <f t="shared" si="24"/>
        <v>26.720000000000002</v>
      </c>
      <c r="S27">
        <f t="shared" si="25"/>
        <v>14.620000000000001</v>
      </c>
      <c r="T27">
        <f t="shared" si="26"/>
        <v>35.365263667150458</v>
      </c>
      <c r="U27">
        <v>22</v>
      </c>
      <c r="V27">
        <v>28.484999999999999</v>
      </c>
      <c r="W27">
        <v>31.972999999999999</v>
      </c>
      <c r="X27">
        <f t="shared" si="27"/>
        <v>3.4879999999999995</v>
      </c>
      <c r="Y27">
        <f t="shared" si="28"/>
        <v>3487.9999999999995</v>
      </c>
      <c r="Z27">
        <v>31.742000000000001</v>
      </c>
      <c r="AA27">
        <f t="shared" si="29"/>
        <v>3.2570000000000014</v>
      </c>
      <c r="AB27">
        <f t="shared" si="30"/>
        <v>3257.0000000000014</v>
      </c>
      <c r="AC27">
        <f t="shared" si="31"/>
        <v>230.99999999999818</v>
      </c>
      <c r="AD27">
        <v>0.9189406814809622</v>
      </c>
      <c r="AE27">
        <f t="shared" si="1"/>
        <v>0.3675762725923849</v>
      </c>
      <c r="AF27">
        <f t="shared" si="32"/>
        <v>6.6227064220182967</v>
      </c>
      <c r="AG27">
        <f t="shared" si="18"/>
        <v>4.784174311926586</v>
      </c>
      <c r="AH27">
        <f t="shared" si="33"/>
        <v>1.7585489610102121E-2</v>
      </c>
      <c r="AI27" s="6">
        <f t="shared" si="3"/>
        <v>0.58559680401640057</v>
      </c>
      <c r="AJ27" s="6">
        <v>33.299999999999997</v>
      </c>
      <c r="AK27" s="6">
        <f t="shared" si="4"/>
        <v>0.58559680401640057</v>
      </c>
      <c r="AL27" s="6">
        <f t="shared" si="21"/>
        <v>1.7585489610102121E-2</v>
      </c>
    </row>
    <row r="28" spans="1:38" x14ac:dyDescent="0.2">
      <c r="A28" t="s">
        <v>37</v>
      </c>
      <c r="B28">
        <v>2022</v>
      </c>
      <c r="C28">
        <f t="shared" si="0"/>
        <v>3</v>
      </c>
      <c r="D28">
        <v>3</v>
      </c>
      <c r="E28">
        <v>3</v>
      </c>
      <c r="F28" t="s">
        <v>39</v>
      </c>
      <c r="G28">
        <v>100</v>
      </c>
      <c r="H28">
        <v>40</v>
      </c>
      <c r="I28">
        <f t="shared" si="22"/>
        <v>0.4</v>
      </c>
      <c r="L28">
        <v>30</v>
      </c>
      <c r="M28" s="1">
        <v>19</v>
      </c>
      <c r="N28">
        <v>5.08</v>
      </c>
      <c r="O28">
        <v>43.68</v>
      </c>
      <c r="P28">
        <f t="shared" si="23"/>
        <v>38.6</v>
      </c>
      <c r="Q28">
        <v>29.75</v>
      </c>
      <c r="R28">
        <f t="shared" si="24"/>
        <v>24.67</v>
      </c>
      <c r="S28">
        <f t="shared" si="25"/>
        <v>13.93</v>
      </c>
      <c r="T28">
        <f t="shared" si="26"/>
        <v>36.088082901554401</v>
      </c>
      <c r="U28">
        <v>19</v>
      </c>
      <c r="V28">
        <v>28.951000000000001</v>
      </c>
      <c r="W28">
        <v>32.335999999999999</v>
      </c>
      <c r="X28">
        <f t="shared" si="27"/>
        <v>3.384999999999998</v>
      </c>
      <c r="Y28">
        <f t="shared" si="28"/>
        <v>3384.9999999999982</v>
      </c>
      <c r="Z28">
        <v>32.119</v>
      </c>
      <c r="AA28">
        <f t="shared" si="29"/>
        <v>3.1679999999999993</v>
      </c>
      <c r="AB28">
        <f t="shared" si="30"/>
        <v>3167.9999999999991</v>
      </c>
      <c r="AC28">
        <f t="shared" si="31"/>
        <v>216.99999999999909</v>
      </c>
      <c r="AD28">
        <v>0.70440106584149909</v>
      </c>
      <c r="AE28">
        <f t="shared" si="1"/>
        <v>0.28176042633659965</v>
      </c>
      <c r="AF28">
        <f t="shared" si="32"/>
        <v>6.4106351550959877</v>
      </c>
      <c r="AG28">
        <f t="shared" si="18"/>
        <v>4.7078286558345557</v>
      </c>
      <c r="AH28">
        <f t="shared" si="33"/>
        <v>1.3264798091876051E-2</v>
      </c>
      <c r="AI28" s="6">
        <f t="shared" si="3"/>
        <v>0.44171777645947247</v>
      </c>
      <c r="AJ28" s="6">
        <v>33.299999999999997</v>
      </c>
      <c r="AK28" s="6">
        <f t="shared" si="4"/>
        <v>0.44171777645947247</v>
      </c>
      <c r="AL28" s="6">
        <f t="shared" si="21"/>
        <v>1.3264798091876051E-2</v>
      </c>
    </row>
    <row r="29" spans="1:38" x14ac:dyDescent="0.2">
      <c r="A29" t="s">
        <v>37</v>
      </c>
      <c r="B29">
        <v>2022</v>
      </c>
      <c r="C29">
        <f t="shared" si="0"/>
        <v>3</v>
      </c>
      <c r="D29">
        <v>3</v>
      </c>
      <c r="E29">
        <v>3</v>
      </c>
      <c r="F29" t="s">
        <v>40</v>
      </c>
      <c r="G29">
        <v>100</v>
      </c>
      <c r="H29">
        <v>40</v>
      </c>
      <c r="I29">
        <f t="shared" si="22"/>
        <v>0.4</v>
      </c>
      <c r="L29">
        <v>30</v>
      </c>
      <c r="M29" s="1">
        <v>14</v>
      </c>
      <c r="N29">
        <v>5.16</v>
      </c>
      <c r="O29">
        <v>43.55</v>
      </c>
      <c r="P29">
        <f t="shared" si="23"/>
        <v>38.39</v>
      </c>
      <c r="Q29">
        <v>27.58</v>
      </c>
      <c r="R29">
        <f t="shared" si="24"/>
        <v>22.419999999999998</v>
      </c>
      <c r="S29">
        <f t="shared" si="25"/>
        <v>15.970000000000002</v>
      </c>
      <c r="T29">
        <f t="shared" si="26"/>
        <v>41.599374837197196</v>
      </c>
      <c r="U29">
        <v>14</v>
      </c>
      <c r="V29">
        <v>27.82</v>
      </c>
      <c r="W29">
        <v>31.556000000000001</v>
      </c>
      <c r="X29">
        <f t="shared" si="27"/>
        <v>3.7360000000000007</v>
      </c>
      <c r="Y29">
        <f t="shared" si="28"/>
        <v>3736.0000000000005</v>
      </c>
      <c r="Z29">
        <v>31.238</v>
      </c>
      <c r="AA29">
        <f t="shared" si="29"/>
        <v>3.4179999999999993</v>
      </c>
      <c r="AB29">
        <f t="shared" si="30"/>
        <v>3417.9999999999991</v>
      </c>
      <c r="AC29">
        <f t="shared" si="31"/>
        <v>318.00000000000136</v>
      </c>
      <c r="AD29">
        <v>0.78573459370935805</v>
      </c>
      <c r="AE29">
        <f t="shared" si="1"/>
        <v>0.31429383748374323</v>
      </c>
      <c r="AF29">
        <f t="shared" si="32"/>
        <v>8.5117773019272303</v>
      </c>
      <c r="AG29">
        <f t="shared" si="18"/>
        <v>5.4642398286938025</v>
      </c>
      <c r="AH29">
        <f t="shared" si="33"/>
        <v>1.7173769046916868E-2</v>
      </c>
      <c r="AI29" s="6">
        <f t="shared" si="3"/>
        <v>0.57188650926233164</v>
      </c>
      <c r="AJ29" s="6">
        <v>33.299999999999997</v>
      </c>
      <c r="AK29" s="6">
        <f t="shared" si="4"/>
        <v>0.57188650926233164</v>
      </c>
      <c r="AL29" s="6">
        <f t="shared" si="21"/>
        <v>1.7173769046916868E-2</v>
      </c>
    </row>
    <row r="30" spans="1:38" x14ac:dyDescent="0.2">
      <c r="A30" t="s">
        <v>43</v>
      </c>
      <c r="B30">
        <v>2022</v>
      </c>
      <c r="C30">
        <f>2025-B30</f>
        <v>3</v>
      </c>
      <c r="D30">
        <v>1</v>
      </c>
      <c r="E30">
        <v>1</v>
      </c>
      <c r="F30" t="s">
        <v>38</v>
      </c>
      <c r="G30">
        <v>50</v>
      </c>
      <c r="H30">
        <v>15</v>
      </c>
      <c r="I30">
        <v>0.3</v>
      </c>
      <c r="K30">
        <v>4</v>
      </c>
      <c r="L30">
        <v>0</v>
      </c>
      <c r="M30">
        <v>7.5</v>
      </c>
      <c r="N30">
        <v>5.15</v>
      </c>
      <c r="O30">
        <v>45.275999999999996</v>
      </c>
      <c r="P30">
        <v>40.125999999999998</v>
      </c>
      <c r="Q30">
        <v>37.389499999999998</v>
      </c>
      <c r="R30">
        <v>32.2395</v>
      </c>
      <c r="S30">
        <v>7.8864999999999981</v>
      </c>
      <c r="T30">
        <v>19.63333607138987</v>
      </c>
      <c r="U30">
        <v>10.5</v>
      </c>
      <c r="V30">
        <v>29.500549999999997</v>
      </c>
      <c r="W30">
        <v>34.151899999999998</v>
      </c>
      <c r="X30">
        <v>4.651349999999999</v>
      </c>
      <c r="Y30">
        <v>4651.3499999999985</v>
      </c>
      <c r="Z30">
        <v>33.929550000000006</v>
      </c>
      <c r="AA30">
        <v>4.4290000000000038</v>
      </c>
      <c r="AB30">
        <v>4429.0000000000036</v>
      </c>
      <c r="AC30">
        <v>222.34999999999491</v>
      </c>
      <c r="AD30">
        <v>1.5449435584168767</v>
      </c>
      <c r="AE30">
        <f t="shared" si="1"/>
        <v>0.46348306752506296</v>
      </c>
      <c r="AF30">
        <v>4.7755451634094346</v>
      </c>
      <c r="AG30">
        <f>0.36*AF30+2.4</f>
        <v>4.1191962588273965</v>
      </c>
      <c r="AH30">
        <f>AE30*(AG30/100)</f>
        <v>1.9091777177790849E-2</v>
      </c>
      <c r="AI30" s="2">
        <f t="shared" ref="AI30:AI93" si="34">AH30*G30</f>
        <v>0.95458885888954248</v>
      </c>
      <c r="AJ30">
        <v>25</v>
      </c>
      <c r="AK30">
        <f>AH30-(AK31+AK32)</f>
        <v>-6.275018798382808E-3</v>
      </c>
      <c r="AL30">
        <f>AK30/AJ30</f>
        <v>-2.5100075193531233E-4</v>
      </c>
    </row>
    <row r="31" spans="1:38" x14ac:dyDescent="0.2">
      <c r="A31" t="s">
        <v>43</v>
      </c>
      <c r="B31">
        <v>2022</v>
      </c>
      <c r="C31">
        <f t="shared" ref="C31:C83" si="35">2025-B31</f>
        <v>3</v>
      </c>
      <c r="D31">
        <v>1</v>
      </c>
      <c r="E31">
        <v>1</v>
      </c>
      <c r="F31" t="s">
        <v>39</v>
      </c>
      <c r="G31">
        <v>25</v>
      </c>
      <c r="H31">
        <v>10</v>
      </c>
      <c r="I31">
        <v>0.4</v>
      </c>
      <c r="K31">
        <v>4</v>
      </c>
      <c r="L31">
        <v>0</v>
      </c>
      <c r="M31">
        <v>9.5</v>
      </c>
      <c r="N31">
        <v>5.14</v>
      </c>
      <c r="O31">
        <v>44.019500000000001</v>
      </c>
      <c r="P31">
        <v>38.8795</v>
      </c>
      <c r="Q31">
        <v>30.148499999999999</v>
      </c>
      <c r="R31">
        <v>25.008499999999998</v>
      </c>
      <c r="S31">
        <v>13.871000000000002</v>
      </c>
      <c r="T31">
        <v>35.819449819457148</v>
      </c>
      <c r="U31">
        <v>11.5</v>
      </c>
      <c r="V31">
        <v>25.383600000000001</v>
      </c>
      <c r="W31">
        <v>29.0246</v>
      </c>
      <c r="X31">
        <v>3.641</v>
      </c>
      <c r="Y31">
        <v>3641</v>
      </c>
      <c r="Z31">
        <v>28.860100000000003</v>
      </c>
      <c r="AA31">
        <v>3.4765000000000015</v>
      </c>
      <c r="AB31">
        <v>3476.5000000000014</v>
      </c>
      <c r="AC31">
        <v>164.49999999999864</v>
      </c>
      <c r="AD31">
        <v>1.5751266302286586</v>
      </c>
      <c r="AE31">
        <f t="shared" si="1"/>
        <v>0.63005065209146349</v>
      </c>
      <c r="AF31">
        <v>4.517088468279038</v>
      </c>
      <c r="AG31">
        <f t="shared" ref="AG31:AG47" si="36">0.36*AF31+2.4</f>
        <v>4.0261518485804535</v>
      </c>
      <c r="AH31">
        <f t="shared" ref="AH31:AH47" si="37">AE31*(AG31/100)</f>
        <v>2.5366795976173657E-2</v>
      </c>
      <c r="AI31" s="2">
        <f t="shared" si="34"/>
        <v>0.63416989940434143</v>
      </c>
      <c r="AJ31">
        <v>15</v>
      </c>
      <c r="AK31">
        <f>AH31-AH32</f>
        <v>-2.2964990810496199E-2</v>
      </c>
      <c r="AL31">
        <f t="shared" ref="AL31:AL47" si="38">AK31/AJ31</f>
        <v>-1.5309993873664134E-3</v>
      </c>
    </row>
    <row r="32" spans="1:38" x14ac:dyDescent="0.2">
      <c r="A32" t="s">
        <v>43</v>
      </c>
      <c r="B32">
        <v>2022</v>
      </c>
      <c r="C32">
        <f t="shared" si="35"/>
        <v>3</v>
      </c>
      <c r="D32">
        <v>1</v>
      </c>
      <c r="E32">
        <v>1</v>
      </c>
      <c r="F32" t="s">
        <v>40</v>
      </c>
      <c r="G32">
        <v>10</v>
      </c>
      <c r="H32">
        <v>8</v>
      </c>
      <c r="I32">
        <v>0.8</v>
      </c>
      <c r="K32">
        <v>4</v>
      </c>
      <c r="L32">
        <v>0</v>
      </c>
      <c r="M32">
        <v>8194.5</v>
      </c>
      <c r="N32">
        <v>5.1099999999999994</v>
      </c>
      <c r="O32">
        <v>38.926500000000004</v>
      </c>
      <c r="P32">
        <v>33.816499999999998</v>
      </c>
      <c r="Q32">
        <v>31.2925</v>
      </c>
      <c r="R32">
        <v>26.182500000000001</v>
      </c>
      <c r="S32">
        <v>7.6340000000000003</v>
      </c>
      <c r="T32">
        <v>22.61742487114789</v>
      </c>
      <c r="U32">
        <v>9.5</v>
      </c>
      <c r="V32">
        <v>24.983249999999998</v>
      </c>
      <c r="W32">
        <v>28.529399999999999</v>
      </c>
      <c r="X32">
        <v>3.546149999999999</v>
      </c>
      <c r="Y32">
        <v>3546.1499999999987</v>
      </c>
      <c r="Z32">
        <v>28.387549999999997</v>
      </c>
      <c r="AA32">
        <v>3.4042999999999992</v>
      </c>
      <c r="AB32">
        <v>3404.2999999999993</v>
      </c>
      <c r="AC32">
        <v>141.84999999999968</v>
      </c>
      <c r="AD32">
        <v>1.5738633378678664</v>
      </c>
      <c r="AE32">
        <f t="shared" si="1"/>
        <v>1.2590906702942932</v>
      </c>
      <c r="AF32">
        <v>3.9961844260926114</v>
      </c>
      <c r="AG32">
        <f t="shared" si="36"/>
        <v>3.8386263933933398</v>
      </c>
      <c r="AH32">
        <f t="shared" si="37"/>
        <v>4.8331786786669856E-2</v>
      </c>
      <c r="AI32" s="2">
        <f t="shared" si="34"/>
        <v>0.48331786786669856</v>
      </c>
      <c r="AJ32">
        <v>10</v>
      </c>
      <c r="AK32">
        <f>AH32</f>
        <v>4.8331786786669856E-2</v>
      </c>
      <c r="AL32">
        <f t="shared" si="38"/>
        <v>4.8331786786669859E-3</v>
      </c>
    </row>
    <row r="33" spans="1:38" x14ac:dyDescent="0.2">
      <c r="A33" t="s">
        <v>43</v>
      </c>
      <c r="B33">
        <v>2022</v>
      </c>
      <c r="C33">
        <f t="shared" si="35"/>
        <v>3</v>
      </c>
      <c r="D33">
        <v>1</v>
      </c>
      <c r="E33">
        <v>2</v>
      </c>
      <c r="F33" s="3" t="s">
        <v>41</v>
      </c>
      <c r="G33">
        <v>50</v>
      </c>
      <c r="H33">
        <v>15</v>
      </c>
      <c r="I33">
        <v>0.3</v>
      </c>
      <c r="K33">
        <v>4</v>
      </c>
      <c r="L33">
        <v>0</v>
      </c>
      <c r="M33">
        <v>13.5</v>
      </c>
      <c r="N33">
        <v>5.15</v>
      </c>
      <c r="O33">
        <v>38.042000000000002</v>
      </c>
      <c r="P33">
        <v>32.891999999999996</v>
      </c>
      <c r="Q33">
        <v>30.730499999999999</v>
      </c>
      <c r="R33">
        <v>25.580500000000001</v>
      </c>
      <c r="S33">
        <v>7.3115000000000006</v>
      </c>
      <c r="T33">
        <v>22.22913295045425</v>
      </c>
      <c r="U33">
        <v>9.5</v>
      </c>
      <c r="V33">
        <v>27.394449999999999</v>
      </c>
      <c r="W33">
        <v>31.1037</v>
      </c>
      <c r="X33">
        <v>3.7092500000000008</v>
      </c>
      <c r="Y33">
        <v>3709.2500000000009</v>
      </c>
      <c r="Z33">
        <v>30.954999999999998</v>
      </c>
      <c r="AA33">
        <v>3.560550000000001</v>
      </c>
      <c r="AB33">
        <v>3560.5500000000011</v>
      </c>
      <c r="AC33">
        <v>148.69999999999959</v>
      </c>
      <c r="AD33">
        <v>1.5449435584168767</v>
      </c>
      <c r="AE33">
        <f t="shared" si="1"/>
        <v>0.46348306752506296</v>
      </c>
      <c r="AF33">
        <v>4.0092706536983567</v>
      </c>
      <c r="AG33">
        <f t="shared" si="36"/>
        <v>3.8433374353314083</v>
      </c>
      <c r="AH33">
        <f t="shared" si="37"/>
        <v>1.7813218240613094E-2</v>
      </c>
      <c r="AI33" s="2">
        <f t="shared" si="34"/>
        <v>0.89066091203065467</v>
      </c>
      <c r="AJ33">
        <v>25</v>
      </c>
      <c r="AK33">
        <f>AH33-(AK34+AK35)</f>
        <v>-1.0274018014893326E-2</v>
      </c>
      <c r="AL33">
        <f t="shared" si="38"/>
        <v>-4.1096072059573302E-4</v>
      </c>
    </row>
    <row r="34" spans="1:38" x14ac:dyDescent="0.2">
      <c r="A34" t="s">
        <v>43</v>
      </c>
      <c r="B34">
        <v>2022</v>
      </c>
      <c r="C34">
        <f t="shared" si="35"/>
        <v>3</v>
      </c>
      <c r="D34">
        <v>1</v>
      </c>
      <c r="E34">
        <v>2</v>
      </c>
      <c r="F34" t="s">
        <v>39</v>
      </c>
      <c r="G34">
        <v>25</v>
      </c>
      <c r="H34">
        <v>12</v>
      </c>
      <c r="I34">
        <v>0.48</v>
      </c>
      <c r="K34">
        <v>4</v>
      </c>
      <c r="L34">
        <v>0</v>
      </c>
      <c r="M34">
        <v>15.5</v>
      </c>
      <c r="N34">
        <v>5.1099999999999994</v>
      </c>
      <c r="O34">
        <v>41.954499999999996</v>
      </c>
      <c r="P34">
        <v>36.844499999999996</v>
      </c>
      <c r="Q34">
        <v>34.326499999999996</v>
      </c>
      <c r="R34">
        <v>29.2165</v>
      </c>
      <c r="S34">
        <v>7.6280000000000001</v>
      </c>
      <c r="T34">
        <v>20.767792694417871</v>
      </c>
      <c r="U34">
        <v>16.5</v>
      </c>
      <c r="V34">
        <v>28.714199999999998</v>
      </c>
      <c r="W34">
        <v>31.58295</v>
      </c>
      <c r="X34">
        <v>2.8687500000000004</v>
      </c>
      <c r="Y34">
        <v>2868.7500000000005</v>
      </c>
      <c r="Z34">
        <v>31.477699999999999</v>
      </c>
      <c r="AA34">
        <v>2.7634999999999987</v>
      </c>
      <c r="AB34">
        <v>2763.4999999999986</v>
      </c>
      <c r="AC34">
        <v>105.25000000000182</v>
      </c>
      <c r="AD34">
        <v>1.5751266302286586</v>
      </c>
      <c r="AE34">
        <f t="shared" si="1"/>
        <v>0.75606078250975606</v>
      </c>
      <c r="AF34">
        <v>3.6526228024618685</v>
      </c>
      <c r="AG34">
        <f t="shared" si="36"/>
        <v>3.7149442088862727</v>
      </c>
      <c r="AH34">
        <f t="shared" si="37"/>
        <v>2.808723625550642E-2</v>
      </c>
      <c r="AI34" s="2">
        <f t="shared" si="34"/>
        <v>0.70218090638766051</v>
      </c>
      <c r="AJ34">
        <v>15</v>
      </c>
      <c r="AK34">
        <f>AH34-AH35</f>
        <v>-2.7715812861611348E-2</v>
      </c>
      <c r="AL34">
        <f t="shared" si="38"/>
        <v>-1.8477208574407566E-3</v>
      </c>
    </row>
    <row r="35" spans="1:38" x14ac:dyDescent="0.2">
      <c r="A35" t="s">
        <v>43</v>
      </c>
      <c r="B35">
        <v>2022</v>
      </c>
      <c r="C35">
        <f t="shared" si="35"/>
        <v>3</v>
      </c>
      <c r="D35">
        <v>1</v>
      </c>
      <c r="E35">
        <v>2</v>
      </c>
      <c r="F35" t="s">
        <v>40</v>
      </c>
      <c r="G35">
        <v>10</v>
      </c>
      <c r="H35">
        <v>9</v>
      </c>
      <c r="I35">
        <v>0.9</v>
      </c>
      <c r="K35">
        <v>4</v>
      </c>
      <c r="L35">
        <v>0</v>
      </c>
      <c r="M35">
        <v>17.5</v>
      </c>
      <c r="N35">
        <v>5.09</v>
      </c>
      <c r="O35">
        <v>38.939</v>
      </c>
      <c r="P35">
        <v>33.849000000000004</v>
      </c>
      <c r="Q35">
        <v>31.270499999999998</v>
      </c>
      <c r="R35">
        <v>26.180500000000002</v>
      </c>
      <c r="S35">
        <v>7.6684999999999999</v>
      </c>
      <c r="T35">
        <v>22.655391683424611</v>
      </c>
      <c r="U35">
        <v>11</v>
      </c>
      <c r="V35">
        <v>27.58765</v>
      </c>
      <c r="W35">
        <v>30.893250000000002</v>
      </c>
      <c r="X35">
        <v>3.3056000000000001</v>
      </c>
      <c r="Y35">
        <v>3305.6000000000004</v>
      </c>
      <c r="Z35">
        <v>30.751550000000002</v>
      </c>
      <c r="AA35">
        <v>3.1638999999999999</v>
      </c>
      <c r="AB35">
        <v>3163.8999999999996</v>
      </c>
      <c r="AC35">
        <v>141.70000000000027</v>
      </c>
      <c r="AD35">
        <v>1.5738633378678664</v>
      </c>
      <c r="AE35">
        <f t="shared" si="1"/>
        <v>1.4164770040810797</v>
      </c>
      <c r="AF35">
        <v>4.2765727451394735</v>
      </c>
      <c r="AG35">
        <f t="shared" si="36"/>
        <v>3.9395661882502102</v>
      </c>
      <c r="AH35">
        <f t="shared" si="37"/>
        <v>5.5803049117117767E-2</v>
      </c>
      <c r="AI35" s="2">
        <f t="shared" si="34"/>
        <v>0.55803049117117764</v>
      </c>
      <c r="AJ35">
        <v>10</v>
      </c>
      <c r="AK35">
        <f>AH35</f>
        <v>5.5803049117117767E-2</v>
      </c>
      <c r="AL35">
        <f t="shared" si="38"/>
        <v>5.5803049117117767E-3</v>
      </c>
    </row>
    <row r="36" spans="1:38" x14ac:dyDescent="0.2">
      <c r="A36" t="s">
        <v>43</v>
      </c>
      <c r="B36">
        <v>2022</v>
      </c>
      <c r="C36">
        <f t="shared" si="35"/>
        <v>3</v>
      </c>
      <c r="D36">
        <v>1</v>
      </c>
      <c r="E36">
        <v>3</v>
      </c>
      <c r="F36" s="3" t="s">
        <v>41</v>
      </c>
      <c r="G36">
        <v>50</v>
      </c>
      <c r="H36">
        <v>17</v>
      </c>
      <c r="I36">
        <v>0.34</v>
      </c>
      <c r="K36">
        <v>4</v>
      </c>
      <c r="L36">
        <v>0</v>
      </c>
      <c r="M36">
        <v>19.5</v>
      </c>
      <c r="N36">
        <v>5.09</v>
      </c>
      <c r="O36">
        <v>40.603499999999997</v>
      </c>
      <c r="P36">
        <v>35.513500000000001</v>
      </c>
      <c r="Q36">
        <v>33.572000000000003</v>
      </c>
      <c r="R36">
        <v>28.481999999999999</v>
      </c>
      <c r="S36">
        <v>7.0315000000000012</v>
      </c>
      <c r="T36">
        <v>19.828099010110847</v>
      </c>
      <c r="U36">
        <v>15</v>
      </c>
      <c r="V36">
        <v>28.393799999999999</v>
      </c>
      <c r="W36">
        <v>31.583100000000002</v>
      </c>
      <c r="X36">
        <v>3.1892999999999994</v>
      </c>
      <c r="Y36">
        <v>3189.2999999999993</v>
      </c>
      <c r="Z36">
        <v>31.457000000000001</v>
      </c>
      <c r="AA36">
        <v>3.0632000000000001</v>
      </c>
      <c r="AB36">
        <v>3063.2</v>
      </c>
      <c r="AC36">
        <v>126.09999999999945</v>
      </c>
      <c r="AD36">
        <v>1.5449435584168767</v>
      </c>
      <c r="AE36">
        <f t="shared" si="1"/>
        <v>0.52528080986173808</v>
      </c>
      <c r="AF36">
        <v>3.9498985633227015</v>
      </c>
      <c r="AG36">
        <f t="shared" si="36"/>
        <v>3.8219634827961722</v>
      </c>
      <c r="AH36">
        <f t="shared" si="37"/>
        <v>2.0076040735051624E-2</v>
      </c>
      <c r="AI36" s="2">
        <f t="shared" si="34"/>
        <v>1.0038020367525813</v>
      </c>
      <c r="AJ36">
        <v>25</v>
      </c>
      <c r="AK36">
        <f>AH36-(AK37+AK38)</f>
        <v>-1.6430608569006567E-2</v>
      </c>
      <c r="AL36">
        <f t="shared" si="38"/>
        <v>-6.5722434276026264E-4</v>
      </c>
    </row>
    <row r="37" spans="1:38" x14ac:dyDescent="0.2">
      <c r="A37" t="s">
        <v>43</v>
      </c>
      <c r="B37">
        <v>2022</v>
      </c>
      <c r="C37">
        <f t="shared" si="35"/>
        <v>3</v>
      </c>
      <c r="D37">
        <v>1</v>
      </c>
      <c r="E37">
        <v>3</v>
      </c>
      <c r="F37" t="s">
        <v>39</v>
      </c>
      <c r="G37">
        <v>25</v>
      </c>
      <c r="H37">
        <v>15</v>
      </c>
      <c r="I37">
        <v>0.6</v>
      </c>
      <c r="K37">
        <v>4</v>
      </c>
      <c r="L37">
        <v>0</v>
      </c>
      <c r="M37">
        <v>21.5</v>
      </c>
      <c r="N37">
        <v>5.04</v>
      </c>
      <c r="O37">
        <v>39.876000000000005</v>
      </c>
      <c r="P37">
        <v>34.835999999999999</v>
      </c>
      <c r="Q37">
        <v>32.115000000000002</v>
      </c>
      <c r="R37">
        <v>27.075000000000003</v>
      </c>
      <c r="S37">
        <v>7.761000000000001</v>
      </c>
      <c r="T37">
        <v>22.313248278176172</v>
      </c>
      <c r="U37">
        <v>4</v>
      </c>
      <c r="V37">
        <v>27.612949999999998</v>
      </c>
      <c r="W37">
        <v>30.475299999999997</v>
      </c>
      <c r="X37">
        <v>2.8623499999999993</v>
      </c>
      <c r="Y37">
        <v>2862.3499999999995</v>
      </c>
      <c r="Z37">
        <v>30.35905</v>
      </c>
      <c r="AA37">
        <v>2.7461000000000002</v>
      </c>
      <c r="AB37">
        <v>2746.1000000000004</v>
      </c>
      <c r="AC37">
        <v>116.24999999999909</v>
      </c>
      <c r="AD37">
        <v>1.5751266302286586</v>
      </c>
      <c r="AE37">
        <f t="shared" si="1"/>
        <v>0.94507597813719513</v>
      </c>
      <c r="AF37">
        <v>4.0634081129102917</v>
      </c>
      <c r="AG37">
        <f t="shared" si="36"/>
        <v>3.8628269206477048</v>
      </c>
      <c r="AH37">
        <f t="shared" si="37"/>
        <v>3.650664930405819E-2</v>
      </c>
      <c r="AI37" s="2">
        <f t="shared" si="34"/>
        <v>0.91266623260145474</v>
      </c>
      <c r="AJ37">
        <v>15</v>
      </c>
      <c r="AK37">
        <f>AH37-AH38</f>
        <v>-2.5181308316649373E-2</v>
      </c>
      <c r="AL37">
        <f t="shared" si="38"/>
        <v>-1.6787538877766248E-3</v>
      </c>
    </row>
    <row r="38" spans="1:38" x14ac:dyDescent="0.2">
      <c r="A38" t="s">
        <v>43</v>
      </c>
      <c r="B38">
        <v>2022</v>
      </c>
      <c r="C38">
        <f t="shared" si="35"/>
        <v>3</v>
      </c>
      <c r="D38">
        <v>1</v>
      </c>
      <c r="E38">
        <v>3</v>
      </c>
      <c r="F38" t="s">
        <v>40</v>
      </c>
      <c r="G38">
        <v>10</v>
      </c>
      <c r="H38">
        <v>10</v>
      </c>
      <c r="I38">
        <v>1</v>
      </c>
      <c r="K38">
        <v>4</v>
      </c>
      <c r="L38">
        <v>0</v>
      </c>
      <c r="M38">
        <v>24</v>
      </c>
      <c r="N38">
        <v>5.1150000000000002</v>
      </c>
      <c r="O38">
        <v>42.016999999999996</v>
      </c>
      <c r="P38">
        <v>36.902000000000001</v>
      </c>
      <c r="Q38">
        <v>34.325500000000005</v>
      </c>
      <c r="R38">
        <v>29.210500000000003</v>
      </c>
      <c r="S38">
        <v>7.6914999999999978</v>
      </c>
      <c r="T38">
        <v>20.84263346229438</v>
      </c>
      <c r="U38">
        <v>12</v>
      </c>
      <c r="V38">
        <v>30.023350000000001</v>
      </c>
      <c r="W38">
        <v>33.0518</v>
      </c>
      <c r="X38">
        <v>3.0284500000000012</v>
      </c>
      <c r="Y38">
        <v>3028.4500000000012</v>
      </c>
      <c r="Z38">
        <v>32.923900000000003</v>
      </c>
      <c r="AA38">
        <v>2.9005500000000044</v>
      </c>
      <c r="AB38">
        <v>2900.5500000000043</v>
      </c>
      <c r="AC38">
        <v>127.89999999999691</v>
      </c>
      <c r="AD38">
        <v>1.5738633378678664</v>
      </c>
      <c r="AE38">
        <f t="shared" si="1"/>
        <v>1.5738633378678664</v>
      </c>
      <c r="AF38">
        <v>4.2209011235225571</v>
      </c>
      <c r="AG38">
        <f t="shared" si="36"/>
        <v>3.9195244044681203</v>
      </c>
      <c r="AH38">
        <f t="shared" si="37"/>
        <v>6.1687957620707563E-2</v>
      </c>
      <c r="AI38" s="2">
        <f t="shared" si="34"/>
        <v>0.61687957620707567</v>
      </c>
      <c r="AJ38">
        <v>10</v>
      </c>
      <c r="AK38">
        <f>AH38</f>
        <v>6.1687957620707563E-2</v>
      </c>
      <c r="AL38">
        <f t="shared" si="38"/>
        <v>6.1687957620707567E-3</v>
      </c>
    </row>
    <row r="39" spans="1:38" x14ac:dyDescent="0.2">
      <c r="A39" t="s">
        <v>43</v>
      </c>
      <c r="B39">
        <v>2014</v>
      </c>
      <c r="C39">
        <f t="shared" si="35"/>
        <v>11</v>
      </c>
      <c r="D39">
        <v>2</v>
      </c>
      <c r="E39">
        <v>1</v>
      </c>
      <c r="F39" s="3" t="s">
        <v>41</v>
      </c>
      <c r="G39">
        <v>50</v>
      </c>
      <c r="H39">
        <v>17</v>
      </c>
      <c r="I39">
        <v>0.34</v>
      </c>
      <c r="K39">
        <v>4</v>
      </c>
      <c r="L39">
        <v>0</v>
      </c>
      <c r="M39">
        <v>25.5</v>
      </c>
      <c r="N39">
        <v>5.0049999999999999</v>
      </c>
      <c r="O39">
        <v>38.354500000000002</v>
      </c>
      <c r="P39">
        <v>33.349499999999999</v>
      </c>
      <c r="Q39">
        <v>30.297000000000001</v>
      </c>
      <c r="R39">
        <v>25.292000000000002</v>
      </c>
      <c r="S39">
        <v>8.057500000000001</v>
      </c>
      <c r="T39">
        <v>24.162050977540069</v>
      </c>
      <c r="U39">
        <v>16.5</v>
      </c>
      <c r="V39">
        <v>27.600899999999999</v>
      </c>
      <c r="W39">
        <v>30.536549999999998</v>
      </c>
      <c r="X39">
        <v>2.9356500000000008</v>
      </c>
      <c r="Y39">
        <v>2935.6500000000005</v>
      </c>
      <c r="Z39">
        <v>30.383400000000002</v>
      </c>
      <c r="AA39">
        <v>2.7825000000000006</v>
      </c>
      <c r="AB39">
        <v>2782.5000000000005</v>
      </c>
      <c r="AC39">
        <v>153.15000000000032</v>
      </c>
      <c r="AD39">
        <v>1.5449435584168767</v>
      </c>
      <c r="AE39">
        <f t="shared" si="1"/>
        <v>0.52528080986173808</v>
      </c>
      <c r="AF39">
        <v>5.2154125765427741</v>
      </c>
      <c r="AG39">
        <f t="shared" si="36"/>
        <v>4.2775485275553988</v>
      </c>
      <c r="AH39">
        <f t="shared" si="37"/>
        <v>2.2469141547771854E-2</v>
      </c>
      <c r="AI39" s="2">
        <f t="shared" si="34"/>
        <v>1.1234570773885926</v>
      </c>
      <c r="AJ39">
        <v>25</v>
      </c>
      <c r="AK39">
        <f>AH39-(AK40+AK41)</f>
        <v>-1.996467924933007E-3</v>
      </c>
      <c r="AL39">
        <f t="shared" si="38"/>
        <v>-7.9858716997320274E-5</v>
      </c>
    </row>
    <row r="40" spans="1:38" x14ac:dyDescent="0.2">
      <c r="A40" t="s">
        <v>43</v>
      </c>
      <c r="B40">
        <v>2014</v>
      </c>
      <c r="C40">
        <f t="shared" si="35"/>
        <v>11</v>
      </c>
      <c r="D40">
        <v>2</v>
      </c>
      <c r="E40">
        <v>1</v>
      </c>
      <c r="F40" t="s">
        <v>39</v>
      </c>
      <c r="G40">
        <v>25</v>
      </c>
      <c r="H40">
        <v>9</v>
      </c>
      <c r="I40">
        <v>0.36</v>
      </c>
      <c r="K40">
        <v>4</v>
      </c>
      <c r="L40">
        <v>0</v>
      </c>
      <c r="M40">
        <v>27.5</v>
      </c>
      <c r="N40">
        <v>4.9800000000000004</v>
      </c>
      <c r="O40">
        <v>40.520000000000003</v>
      </c>
      <c r="P40">
        <v>35.540000000000006</v>
      </c>
      <c r="Q40">
        <v>30.2745</v>
      </c>
      <c r="R40">
        <v>25.294499999999999</v>
      </c>
      <c r="S40">
        <v>10.245500000000003</v>
      </c>
      <c r="T40">
        <v>28.855908645406373</v>
      </c>
      <c r="U40">
        <v>15.5</v>
      </c>
      <c r="V40">
        <v>28.996649999999999</v>
      </c>
      <c r="W40">
        <v>31.681649999999998</v>
      </c>
      <c r="X40">
        <v>2.6850000000000005</v>
      </c>
      <c r="Y40">
        <v>2685.0000000000009</v>
      </c>
      <c r="Z40">
        <v>31.538499999999999</v>
      </c>
      <c r="AA40">
        <v>2.5418500000000002</v>
      </c>
      <c r="AB40">
        <v>2541.8500000000004</v>
      </c>
      <c r="AC40">
        <v>143.15000000000055</v>
      </c>
      <c r="AD40">
        <v>1.5751266302286586</v>
      </c>
      <c r="AE40">
        <f t="shared" si="1"/>
        <v>0.5670455868823171</v>
      </c>
      <c r="AF40">
        <v>5.3182650363946742</v>
      </c>
      <c r="AG40">
        <f t="shared" si="36"/>
        <v>4.3145754131020828</v>
      </c>
      <c r="AH40">
        <f t="shared" si="37"/>
        <v>2.4465609472704864E-2</v>
      </c>
      <c r="AI40" s="2">
        <f t="shared" si="34"/>
        <v>0.61164023681762159</v>
      </c>
      <c r="AJ40">
        <v>15</v>
      </c>
      <c r="AK40">
        <f>AH40-AH41</f>
        <v>-3.8670473068927722E-2</v>
      </c>
      <c r="AL40">
        <f t="shared" si="38"/>
        <v>-2.5780315379285148E-3</v>
      </c>
    </row>
    <row r="41" spans="1:38" x14ac:dyDescent="0.2">
      <c r="A41" t="s">
        <v>43</v>
      </c>
      <c r="B41">
        <v>2014</v>
      </c>
      <c r="C41">
        <f t="shared" si="35"/>
        <v>11</v>
      </c>
      <c r="D41">
        <v>2</v>
      </c>
      <c r="E41">
        <v>1</v>
      </c>
      <c r="F41" t="s">
        <v>40</v>
      </c>
      <c r="G41">
        <v>10</v>
      </c>
      <c r="H41">
        <v>10</v>
      </c>
      <c r="I41">
        <v>1</v>
      </c>
      <c r="K41">
        <v>4</v>
      </c>
      <c r="L41">
        <v>0</v>
      </c>
      <c r="M41">
        <v>29.5</v>
      </c>
      <c r="N41">
        <v>5.03</v>
      </c>
      <c r="O41">
        <v>41.394000000000005</v>
      </c>
      <c r="P41">
        <v>36.364000000000004</v>
      </c>
      <c r="Q41">
        <v>31.616500000000002</v>
      </c>
      <c r="R41">
        <v>26.586500000000001</v>
      </c>
      <c r="S41">
        <v>9.7775000000000016</v>
      </c>
      <c r="T41">
        <v>26.885909043659233</v>
      </c>
      <c r="U41">
        <v>11.5</v>
      </c>
      <c r="V41">
        <v>29.570550000000001</v>
      </c>
      <c r="W41">
        <v>33.342300000000002</v>
      </c>
      <c r="X41">
        <v>3.7717500000000008</v>
      </c>
      <c r="Y41">
        <v>3771.7500000000009</v>
      </c>
      <c r="Z41">
        <v>33.173649999999995</v>
      </c>
      <c r="AA41">
        <v>3.6030999999999977</v>
      </c>
      <c r="AB41">
        <v>3603.0999999999976</v>
      </c>
      <c r="AC41">
        <v>168.65000000000305</v>
      </c>
      <c r="AD41">
        <v>1.5738633378678664</v>
      </c>
      <c r="AE41">
        <f t="shared" si="1"/>
        <v>1.5738633378678664</v>
      </c>
      <c r="AF41">
        <v>4.476486797831555</v>
      </c>
      <c r="AG41">
        <f t="shared" si="36"/>
        <v>4.0115352472193599</v>
      </c>
      <c r="AH41">
        <f t="shared" si="37"/>
        <v>6.3136082541632582E-2</v>
      </c>
      <c r="AI41" s="2">
        <f t="shared" si="34"/>
        <v>0.63136082541632588</v>
      </c>
      <c r="AJ41">
        <v>10</v>
      </c>
      <c r="AK41">
        <f>AH41</f>
        <v>6.3136082541632582E-2</v>
      </c>
      <c r="AL41">
        <f t="shared" si="38"/>
        <v>6.3136082541632582E-3</v>
      </c>
    </row>
    <row r="42" spans="1:38" x14ac:dyDescent="0.2">
      <c r="A42" t="s">
        <v>43</v>
      </c>
      <c r="B42">
        <v>2014</v>
      </c>
      <c r="C42">
        <f t="shared" si="35"/>
        <v>11</v>
      </c>
      <c r="D42">
        <v>2</v>
      </c>
      <c r="E42">
        <v>2</v>
      </c>
      <c r="F42" s="3" t="s">
        <v>41</v>
      </c>
      <c r="G42">
        <v>50</v>
      </c>
      <c r="H42">
        <v>25</v>
      </c>
      <c r="I42">
        <v>0.5</v>
      </c>
      <c r="K42">
        <v>4</v>
      </c>
      <c r="L42">
        <v>0</v>
      </c>
      <c r="M42">
        <v>31.5</v>
      </c>
      <c r="N42">
        <v>4.9849999999999994</v>
      </c>
      <c r="O42">
        <v>41.088499999999996</v>
      </c>
      <c r="P42">
        <v>36.103499999999997</v>
      </c>
      <c r="Q42">
        <v>32.519999999999996</v>
      </c>
      <c r="R42">
        <v>27.535</v>
      </c>
      <c r="S42">
        <v>8.5685000000000002</v>
      </c>
      <c r="T42">
        <v>23.73610027123307</v>
      </c>
      <c r="U42">
        <v>6.5</v>
      </c>
      <c r="V42">
        <v>27.044600000000003</v>
      </c>
      <c r="W42">
        <v>29.898150000000001</v>
      </c>
      <c r="X42">
        <v>2.8535499999999985</v>
      </c>
      <c r="Y42">
        <v>2853.5499999999984</v>
      </c>
      <c r="Z42">
        <v>29.80585</v>
      </c>
      <c r="AA42">
        <v>2.7612499999999986</v>
      </c>
      <c r="AB42">
        <v>2761.2499999999986</v>
      </c>
      <c r="AC42">
        <v>92.299999999999955</v>
      </c>
      <c r="AD42">
        <v>1.5449435584168767</v>
      </c>
      <c r="AE42">
        <f t="shared" si="1"/>
        <v>0.77247177920843835</v>
      </c>
      <c r="AF42">
        <v>3.0848442444795259</v>
      </c>
      <c r="AG42">
        <f t="shared" si="36"/>
        <v>3.5105439280126292</v>
      </c>
      <c r="AH42">
        <f t="shared" si="37"/>
        <v>2.7117961140612955E-2</v>
      </c>
      <c r="AI42" s="2">
        <f t="shared" si="34"/>
        <v>1.3558980570306478</v>
      </c>
      <c r="AJ42">
        <v>25</v>
      </c>
      <c r="AK42">
        <f>AH42-(AK43+AK44)</f>
        <v>-1.4895705460987597E-2</v>
      </c>
      <c r="AL42">
        <f t="shared" si="38"/>
        <v>-5.9582821843950386E-4</v>
      </c>
    </row>
    <row r="43" spans="1:38" x14ac:dyDescent="0.2">
      <c r="A43" t="s">
        <v>43</v>
      </c>
      <c r="B43">
        <v>2014</v>
      </c>
      <c r="C43">
        <f t="shared" si="35"/>
        <v>11</v>
      </c>
      <c r="D43">
        <v>2</v>
      </c>
      <c r="E43">
        <v>2</v>
      </c>
      <c r="F43" t="s">
        <v>39</v>
      </c>
      <c r="G43">
        <v>25</v>
      </c>
      <c r="H43">
        <v>15</v>
      </c>
      <c r="I43">
        <v>0.6</v>
      </c>
      <c r="K43">
        <v>4</v>
      </c>
      <c r="L43">
        <v>0</v>
      </c>
      <c r="M43">
        <v>33.5</v>
      </c>
      <c r="N43">
        <v>4.9749999999999996</v>
      </c>
      <c r="O43">
        <v>37.304000000000002</v>
      </c>
      <c r="P43">
        <v>32.328999999999994</v>
      </c>
      <c r="Q43">
        <v>28.5945</v>
      </c>
      <c r="R43">
        <v>23.619499999999999</v>
      </c>
      <c r="S43">
        <v>8.7094999999999985</v>
      </c>
      <c r="T43">
        <v>26.936526390785325</v>
      </c>
      <c r="U43">
        <v>20.5</v>
      </c>
      <c r="V43">
        <v>29.8047</v>
      </c>
      <c r="W43">
        <v>32.8005</v>
      </c>
      <c r="X43">
        <v>2.9958000000000009</v>
      </c>
      <c r="Y43">
        <v>2995.8000000000011</v>
      </c>
      <c r="Z43">
        <v>32.630400000000002</v>
      </c>
      <c r="AA43">
        <v>2.8257000000000012</v>
      </c>
      <c r="AB43">
        <v>2825.7000000000012</v>
      </c>
      <c r="AC43">
        <v>170.09999999999968</v>
      </c>
      <c r="AD43">
        <v>1.5751266302286586</v>
      </c>
      <c r="AE43">
        <f t="shared" si="1"/>
        <v>0.94507597813719513</v>
      </c>
      <c r="AF43">
        <v>5.682036733764976</v>
      </c>
      <c r="AG43">
        <f t="shared" si="36"/>
        <v>4.4455332241553913</v>
      </c>
      <c r="AH43">
        <f t="shared" si="37"/>
        <v>4.2013666601600552E-2</v>
      </c>
      <c r="AI43" s="2">
        <f t="shared" si="34"/>
        <v>1.0503416650400137</v>
      </c>
      <c r="AJ43">
        <v>15</v>
      </c>
      <c r="AK43">
        <f>AH43-AH44</f>
        <v>-3.3330390204507301E-2</v>
      </c>
      <c r="AL43">
        <f t="shared" si="38"/>
        <v>-2.22202601363382E-3</v>
      </c>
    </row>
    <row r="44" spans="1:38" x14ac:dyDescent="0.2">
      <c r="A44" t="s">
        <v>43</v>
      </c>
      <c r="B44">
        <v>2014</v>
      </c>
      <c r="C44">
        <f t="shared" si="35"/>
        <v>11</v>
      </c>
      <c r="D44">
        <v>2</v>
      </c>
      <c r="E44">
        <v>2</v>
      </c>
      <c r="F44" t="s">
        <v>40</v>
      </c>
      <c r="G44">
        <v>10</v>
      </c>
      <c r="H44">
        <v>10</v>
      </c>
      <c r="I44">
        <v>1</v>
      </c>
      <c r="K44">
        <v>4</v>
      </c>
      <c r="L44">
        <v>0</v>
      </c>
      <c r="M44">
        <v>35.5</v>
      </c>
      <c r="N44">
        <v>5.0600000000000005</v>
      </c>
      <c r="O44">
        <v>39.467500000000001</v>
      </c>
      <c r="P44">
        <v>34.407499999999999</v>
      </c>
      <c r="Q44">
        <v>29.176499999999997</v>
      </c>
      <c r="R44">
        <v>24.116499999999998</v>
      </c>
      <c r="S44">
        <v>10.291000000000002</v>
      </c>
      <c r="T44">
        <v>29.960112242430647</v>
      </c>
      <c r="U44">
        <v>11</v>
      </c>
      <c r="V44">
        <v>26.31325</v>
      </c>
      <c r="W44">
        <v>29.920299999999997</v>
      </c>
      <c r="X44">
        <v>3.6070499999999992</v>
      </c>
      <c r="Y44">
        <v>3607.0499999999993</v>
      </c>
      <c r="Z44">
        <v>29.681449999999998</v>
      </c>
      <c r="AA44">
        <v>3.3681999999999999</v>
      </c>
      <c r="AB44">
        <v>3368.2</v>
      </c>
      <c r="AC44">
        <v>238.84999999999945</v>
      </c>
      <c r="AD44">
        <v>1.5738633378678664</v>
      </c>
      <c r="AE44">
        <f t="shared" si="1"/>
        <v>1.5738633378678664</v>
      </c>
      <c r="AF44">
        <v>6.6311236590905631</v>
      </c>
      <c r="AG44">
        <f t="shared" si="36"/>
        <v>4.7872045172726025</v>
      </c>
      <c r="AH44">
        <f t="shared" si="37"/>
        <v>7.5344056806107854E-2</v>
      </c>
      <c r="AI44" s="2">
        <f t="shared" si="34"/>
        <v>0.75344056806107851</v>
      </c>
      <c r="AJ44">
        <v>10</v>
      </c>
      <c r="AK44">
        <f>AH44</f>
        <v>7.5344056806107854E-2</v>
      </c>
      <c r="AL44">
        <f t="shared" si="38"/>
        <v>7.5344056806107857E-3</v>
      </c>
    </row>
    <row r="45" spans="1:38" x14ac:dyDescent="0.2">
      <c r="A45" t="s">
        <v>43</v>
      </c>
      <c r="B45">
        <v>2014</v>
      </c>
      <c r="C45">
        <f t="shared" si="35"/>
        <v>11</v>
      </c>
      <c r="D45">
        <v>2</v>
      </c>
      <c r="E45">
        <v>3</v>
      </c>
      <c r="F45" t="s">
        <v>41</v>
      </c>
      <c r="G45">
        <v>40</v>
      </c>
      <c r="H45">
        <v>15</v>
      </c>
      <c r="I45">
        <v>0.375</v>
      </c>
      <c r="K45">
        <v>4</v>
      </c>
      <c r="L45">
        <v>0</v>
      </c>
      <c r="M45">
        <v>37.5</v>
      </c>
      <c r="N45">
        <v>5.085</v>
      </c>
      <c r="O45">
        <v>35.634</v>
      </c>
      <c r="P45">
        <v>30.548999999999999</v>
      </c>
      <c r="Q45">
        <v>27.603999999999999</v>
      </c>
      <c r="R45">
        <v>22.518999999999998</v>
      </c>
      <c r="S45">
        <v>8.0300000000000011</v>
      </c>
      <c r="T45">
        <v>26.287475953981502</v>
      </c>
      <c r="U45">
        <v>8.5</v>
      </c>
      <c r="V45">
        <v>28.383099999999999</v>
      </c>
      <c r="W45">
        <v>31.561450000000001</v>
      </c>
      <c r="X45">
        <v>3.17835</v>
      </c>
      <c r="Y45">
        <v>3178.35</v>
      </c>
      <c r="Z45">
        <v>31.373800000000003</v>
      </c>
      <c r="AA45">
        <v>2.9907000000000004</v>
      </c>
      <c r="AB45">
        <v>2990.7000000000007</v>
      </c>
      <c r="AC45">
        <v>187.64999999999941</v>
      </c>
      <c r="AD45">
        <v>1.5449435584168767</v>
      </c>
      <c r="AE45">
        <f t="shared" si="1"/>
        <v>0.5793538344063287</v>
      </c>
      <c r="AF45">
        <v>5.903562911516973</v>
      </c>
      <c r="AG45">
        <f t="shared" si="36"/>
        <v>4.5252826481461099</v>
      </c>
      <c r="AH45">
        <f t="shared" si="37"/>
        <v>2.6217398539758737E-2</v>
      </c>
      <c r="AI45" s="2">
        <f t="shared" si="34"/>
        <v>1.0486959415903494</v>
      </c>
      <c r="AJ45">
        <v>25</v>
      </c>
      <c r="AK45">
        <f>AH45-(AK46+AK47)</f>
        <v>-3.5860297875811749E-3</v>
      </c>
      <c r="AL45">
        <f t="shared" si="38"/>
        <v>-1.43441191503247E-4</v>
      </c>
    </row>
    <row r="46" spans="1:38" x14ac:dyDescent="0.2">
      <c r="A46" t="s">
        <v>43</v>
      </c>
      <c r="B46">
        <v>2014</v>
      </c>
      <c r="C46">
        <f t="shared" si="35"/>
        <v>11</v>
      </c>
      <c r="D46">
        <v>2</v>
      </c>
      <c r="E46">
        <v>3</v>
      </c>
      <c r="F46" t="s">
        <v>39</v>
      </c>
      <c r="G46">
        <v>25</v>
      </c>
      <c r="H46">
        <v>11</v>
      </c>
      <c r="I46">
        <v>0.44</v>
      </c>
      <c r="K46">
        <v>4</v>
      </c>
      <c r="L46">
        <v>0</v>
      </c>
      <c r="M46">
        <v>39.5</v>
      </c>
      <c r="N46">
        <v>5.1349999999999998</v>
      </c>
      <c r="O46">
        <v>38.344000000000001</v>
      </c>
      <c r="P46">
        <v>33.209000000000003</v>
      </c>
      <c r="Q46">
        <v>29.087</v>
      </c>
      <c r="R46">
        <v>23.951999999999998</v>
      </c>
      <c r="S46">
        <v>9.2570000000000014</v>
      </c>
      <c r="T46">
        <v>27.86147490767344</v>
      </c>
      <c r="U46">
        <v>8.5</v>
      </c>
      <c r="V46">
        <v>27.914549999999998</v>
      </c>
      <c r="W46">
        <v>31.487099999999998</v>
      </c>
      <c r="X46">
        <v>3.5725499999999997</v>
      </c>
      <c r="Y46">
        <v>3572.5499999999997</v>
      </c>
      <c r="Z46">
        <v>31.2987</v>
      </c>
      <c r="AA46">
        <v>3.38415</v>
      </c>
      <c r="AB46">
        <v>3384.1499999999996</v>
      </c>
      <c r="AC46">
        <v>188.39999999999986</v>
      </c>
      <c r="AD46">
        <v>1.5751266302286586</v>
      </c>
      <c r="AE46">
        <f t="shared" si="1"/>
        <v>0.69305571730060977</v>
      </c>
      <c r="AF46">
        <v>5.2785924001983595</v>
      </c>
      <c r="AG46">
        <f t="shared" si="36"/>
        <v>4.3002932640714091</v>
      </c>
      <c r="AH46">
        <f t="shared" si="37"/>
        <v>2.9803428327339912E-2</v>
      </c>
      <c r="AI46" s="2">
        <f t="shared" si="34"/>
        <v>0.74508570818349784</v>
      </c>
      <c r="AJ46">
        <v>15</v>
      </c>
      <c r="AK46">
        <f t="shared" ref="AK46" si="39">AH46-AH47</f>
        <v>-3.8824768464858522E-2</v>
      </c>
      <c r="AL46">
        <f t="shared" si="38"/>
        <v>-2.5883178976572347E-3</v>
      </c>
    </row>
    <row r="47" spans="1:38" x14ac:dyDescent="0.2">
      <c r="A47" t="s">
        <v>43</v>
      </c>
      <c r="B47">
        <v>2014</v>
      </c>
      <c r="C47">
        <f t="shared" si="35"/>
        <v>11</v>
      </c>
      <c r="D47">
        <v>2</v>
      </c>
      <c r="E47">
        <v>3</v>
      </c>
      <c r="F47" t="s">
        <v>40</v>
      </c>
      <c r="G47">
        <v>10</v>
      </c>
      <c r="H47">
        <v>10</v>
      </c>
      <c r="I47">
        <v>1</v>
      </c>
      <c r="K47">
        <v>4</v>
      </c>
      <c r="L47">
        <v>0</v>
      </c>
      <c r="M47">
        <v>41.5</v>
      </c>
      <c r="N47">
        <v>5.09</v>
      </c>
      <c r="O47">
        <v>38.408999999999999</v>
      </c>
      <c r="P47">
        <v>33.319000000000003</v>
      </c>
      <c r="Q47">
        <v>29.038</v>
      </c>
      <c r="R47">
        <v>23.948</v>
      </c>
      <c r="S47">
        <v>9.3709999999999987</v>
      </c>
      <c r="T47">
        <v>28.125896308745613</v>
      </c>
      <c r="U47">
        <v>6.5</v>
      </c>
      <c r="V47">
        <v>24.757249999999999</v>
      </c>
      <c r="W47">
        <v>28.444200000000002</v>
      </c>
      <c r="X47">
        <v>3.6869500000000013</v>
      </c>
      <c r="Y47">
        <v>3686.9500000000012</v>
      </c>
      <c r="Z47">
        <v>28.243499999999997</v>
      </c>
      <c r="AA47">
        <v>3.4862500000000001</v>
      </c>
      <c r="AB47">
        <v>3486.25</v>
      </c>
      <c r="AC47">
        <v>200.70000000000118</v>
      </c>
      <c r="AD47">
        <v>1.5738633378678664</v>
      </c>
      <c r="AE47">
        <f t="shared" si="1"/>
        <v>1.5738633378678664</v>
      </c>
      <c r="AF47">
        <v>5.4458132031918716</v>
      </c>
      <c r="AG47">
        <f t="shared" si="36"/>
        <v>4.3604927531490736</v>
      </c>
      <c r="AH47">
        <f t="shared" si="37"/>
        <v>6.8628196792198434E-2</v>
      </c>
      <c r="AI47" s="2">
        <f t="shared" si="34"/>
        <v>0.68628196792198437</v>
      </c>
      <c r="AJ47">
        <v>10</v>
      </c>
      <c r="AK47">
        <f t="shared" ref="AK47" si="40">AH47</f>
        <v>6.8628196792198434E-2</v>
      </c>
      <c r="AL47">
        <f t="shared" si="38"/>
        <v>6.8628196792198436E-3</v>
      </c>
    </row>
    <row r="48" spans="1:38" x14ac:dyDescent="0.2">
      <c r="A48" t="s">
        <v>44</v>
      </c>
      <c r="B48">
        <v>2005</v>
      </c>
      <c r="C48">
        <f t="shared" si="35"/>
        <v>20</v>
      </c>
      <c r="D48">
        <v>1</v>
      </c>
      <c r="E48">
        <v>1</v>
      </c>
      <c r="F48" t="s">
        <v>38</v>
      </c>
      <c r="G48">
        <v>50</v>
      </c>
      <c r="H48">
        <v>17.5</v>
      </c>
      <c r="I48">
        <f>H48/G48</f>
        <v>0.35</v>
      </c>
      <c r="K48">
        <v>4</v>
      </c>
      <c r="M48">
        <v>5</v>
      </c>
      <c r="N48">
        <v>1.825</v>
      </c>
      <c r="O48">
        <v>37.319000000000003</v>
      </c>
      <c r="P48">
        <f t="shared" ref="P48:P110" si="41">O48-N48</f>
        <v>35.494</v>
      </c>
      <c r="Q48">
        <v>29.777999999999999</v>
      </c>
      <c r="R48">
        <f t="shared" ref="R48:R110" si="42">Q48-N48</f>
        <v>27.952999999999999</v>
      </c>
      <c r="S48">
        <f>P48-R48</f>
        <v>7.5410000000000004</v>
      </c>
      <c r="T48">
        <f>((P48-R48)/P48)*100</f>
        <v>21.245844368062208</v>
      </c>
      <c r="U48">
        <v>16</v>
      </c>
      <c r="V48">
        <v>28.4542</v>
      </c>
      <c r="W48">
        <v>32.271000000000001</v>
      </c>
      <c r="X48">
        <f>W48-V48</f>
        <v>3.8168000000000006</v>
      </c>
      <c r="Y48">
        <f>X48*1000</f>
        <v>3816.8000000000006</v>
      </c>
      <c r="Z48">
        <v>32.136299999999999</v>
      </c>
      <c r="AA48">
        <f>Z48-V48</f>
        <v>3.6820999999999984</v>
      </c>
      <c r="AB48">
        <f t="shared" ref="AB48:AB109" si="43">AA48*1000</f>
        <v>3682.0999999999985</v>
      </c>
      <c r="AC48">
        <f>Y48-AB48</f>
        <v>134.70000000000209</v>
      </c>
      <c r="AD48">
        <v>1.0202627626905951</v>
      </c>
      <c r="AE48">
        <f t="shared" si="1"/>
        <v>0.35709196694170825</v>
      </c>
      <c r="AF48">
        <f t="shared" ref="AF48:AF109" si="44">((Y48-AB48)/Y48)*100</f>
        <v>3.5291343533850892</v>
      </c>
      <c r="AG48">
        <f>0.36*AF48+2.4</f>
        <v>3.6704883672186321</v>
      </c>
      <c r="AH48">
        <f>AE48*(AG48/100)</f>
        <v>1.3107019106867604E-2</v>
      </c>
      <c r="AI48" s="2">
        <f t="shared" si="34"/>
        <v>0.65535095534338017</v>
      </c>
      <c r="AJ48">
        <v>25</v>
      </c>
      <c r="AK48">
        <f>AH48-(AK49+AK50)</f>
        <v>2.7052371094534369E-3</v>
      </c>
      <c r="AL48">
        <f>AK48/AJ48</f>
        <v>1.0820948437813747E-4</v>
      </c>
    </row>
    <row r="49" spans="1:39" x14ac:dyDescent="0.2">
      <c r="A49" t="s">
        <v>44</v>
      </c>
      <c r="B49">
        <v>2005</v>
      </c>
      <c r="C49">
        <f t="shared" si="35"/>
        <v>20</v>
      </c>
      <c r="D49">
        <v>1</v>
      </c>
      <c r="E49">
        <v>1</v>
      </c>
      <c r="F49" t="s">
        <v>39</v>
      </c>
      <c r="G49">
        <v>25</v>
      </c>
      <c r="H49">
        <v>9</v>
      </c>
      <c r="I49">
        <f t="shared" ref="I49:I101" si="45">H49/G49</f>
        <v>0.36</v>
      </c>
      <c r="K49">
        <v>4</v>
      </c>
      <c r="M49">
        <v>6</v>
      </c>
      <c r="N49">
        <v>1.796</v>
      </c>
      <c r="O49">
        <v>38.600999999999999</v>
      </c>
      <c r="P49">
        <f t="shared" si="41"/>
        <v>36.805</v>
      </c>
      <c r="Q49">
        <v>30.643000000000001</v>
      </c>
      <c r="R49">
        <f t="shared" si="42"/>
        <v>28.847000000000001</v>
      </c>
      <c r="S49">
        <f t="shared" ref="S49:S83" si="46">P49-R49</f>
        <v>7.9579999999999984</v>
      </c>
      <c r="T49">
        <f t="shared" ref="T49:T83" si="47">((P49-R49)/P49)*100</f>
        <v>21.622062219807088</v>
      </c>
      <c r="U49">
        <v>13</v>
      </c>
      <c r="V49">
        <v>22.195699999999999</v>
      </c>
      <c r="W49">
        <v>25.920300000000001</v>
      </c>
      <c r="X49">
        <f t="shared" ref="X49:X83" si="48">W49-V49</f>
        <v>3.7246000000000024</v>
      </c>
      <c r="Y49">
        <f t="shared" ref="Y49:Y83" si="49">X49*1000</f>
        <v>3724.6000000000022</v>
      </c>
      <c r="Z49">
        <v>25.772500000000001</v>
      </c>
      <c r="AA49">
        <f t="shared" ref="AA49:AA83" si="50">Z49-V49</f>
        <v>3.5768000000000022</v>
      </c>
      <c r="AB49">
        <f t="shared" si="43"/>
        <v>3576.800000000002</v>
      </c>
      <c r="AC49">
        <f t="shared" ref="AC49:AC83" si="51">Y49-AB49</f>
        <v>147.80000000000018</v>
      </c>
      <c r="AD49">
        <v>0.75469284577388129</v>
      </c>
      <c r="AE49">
        <f t="shared" si="1"/>
        <v>0.27168942447859723</v>
      </c>
      <c r="AF49">
        <f t="shared" si="44"/>
        <v>3.9682113515545319</v>
      </c>
      <c r="AG49">
        <f t="shared" ref="AG49:AG83" si="52">0.36*AF49+2.4</f>
        <v>3.8285560865596313</v>
      </c>
      <c r="AH49">
        <f t="shared" ref="AH49:AH83" si="53">AE49*(AG49/100)</f>
        <v>1.0401781997414167E-2</v>
      </c>
      <c r="AI49" s="2">
        <f t="shared" si="34"/>
        <v>0.2600445499353542</v>
      </c>
      <c r="AJ49">
        <v>15</v>
      </c>
      <c r="AK49">
        <f>AH49-AH50</f>
        <v>-4.2441177081601836E-3</v>
      </c>
      <c r="AL49">
        <f t="shared" ref="AL49:AL83" si="54">AK49/AJ49</f>
        <v>-2.8294118054401224E-4</v>
      </c>
    </row>
    <row r="50" spans="1:39" x14ac:dyDescent="0.2">
      <c r="A50" t="s">
        <v>44</v>
      </c>
      <c r="B50">
        <v>2005</v>
      </c>
      <c r="C50">
        <f t="shared" si="35"/>
        <v>20</v>
      </c>
      <c r="D50">
        <v>1</v>
      </c>
      <c r="E50">
        <v>1</v>
      </c>
      <c r="F50" t="s">
        <v>40</v>
      </c>
      <c r="G50">
        <v>10</v>
      </c>
      <c r="H50">
        <v>4</v>
      </c>
      <c r="I50">
        <f t="shared" si="45"/>
        <v>0.4</v>
      </c>
      <c r="K50">
        <v>4</v>
      </c>
      <c r="M50">
        <v>7</v>
      </c>
      <c r="N50">
        <v>1.8149999999999999</v>
      </c>
      <c r="O50">
        <v>33.651000000000003</v>
      </c>
      <c r="P50">
        <f t="shared" si="41"/>
        <v>31.836000000000002</v>
      </c>
      <c r="Q50">
        <v>26.782</v>
      </c>
      <c r="R50">
        <f t="shared" si="42"/>
        <v>24.966999999999999</v>
      </c>
      <c r="S50">
        <f t="shared" si="46"/>
        <v>6.8690000000000033</v>
      </c>
      <c r="T50">
        <f t="shared" si="47"/>
        <v>21.576203040582996</v>
      </c>
      <c r="U50">
        <v>7</v>
      </c>
      <c r="V50">
        <v>27.256399999999999</v>
      </c>
      <c r="W50">
        <v>31.168399999999998</v>
      </c>
      <c r="X50">
        <f t="shared" si="48"/>
        <v>3.911999999999999</v>
      </c>
      <c r="Y50">
        <f t="shared" si="49"/>
        <v>3911.9999999999991</v>
      </c>
      <c r="Z50">
        <v>31.0078</v>
      </c>
      <c r="AA50">
        <f t="shared" si="50"/>
        <v>3.7514000000000003</v>
      </c>
      <c r="AB50">
        <f t="shared" si="43"/>
        <v>3751.4</v>
      </c>
      <c r="AC50">
        <f t="shared" si="51"/>
        <v>160.599999999999</v>
      </c>
      <c r="AD50">
        <v>0.94418669989266912</v>
      </c>
      <c r="AE50">
        <f t="shared" si="1"/>
        <v>0.37767467995706766</v>
      </c>
      <c r="AF50">
        <f t="shared" si="44"/>
        <v>4.1053169734151078</v>
      </c>
      <c r="AG50">
        <f t="shared" si="52"/>
        <v>3.8779141104294386</v>
      </c>
      <c r="AH50">
        <f t="shared" si="53"/>
        <v>1.4645899705574351E-2</v>
      </c>
      <c r="AI50" s="2">
        <f t="shared" si="34"/>
        <v>0.1464589970557435</v>
      </c>
      <c r="AJ50">
        <v>10</v>
      </c>
      <c r="AK50">
        <f>AH50</f>
        <v>1.4645899705574351E-2</v>
      </c>
      <c r="AL50">
        <f t="shared" si="54"/>
        <v>1.4645899705574351E-3</v>
      </c>
    </row>
    <row r="51" spans="1:39" x14ac:dyDescent="0.2">
      <c r="A51" t="s">
        <v>44</v>
      </c>
      <c r="B51">
        <v>2005</v>
      </c>
      <c r="C51">
        <f t="shared" si="35"/>
        <v>20</v>
      </c>
      <c r="D51">
        <v>1</v>
      </c>
      <c r="E51">
        <v>2</v>
      </c>
      <c r="F51" s="3" t="s">
        <v>41</v>
      </c>
      <c r="G51">
        <v>50</v>
      </c>
      <c r="H51">
        <v>14.6</v>
      </c>
      <c r="I51">
        <f t="shared" si="45"/>
        <v>0.29199999999999998</v>
      </c>
      <c r="K51">
        <v>4</v>
      </c>
      <c r="M51">
        <v>8</v>
      </c>
      <c r="N51">
        <v>1.798</v>
      </c>
      <c r="O51">
        <v>33.741999999999997</v>
      </c>
      <c r="P51">
        <f t="shared" si="41"/>
        <v>31.943999999999996</v>
      </c>
      <c r="Q51">
        <v>26.77</v>
      </c>
      <c r="R51">
        <f t="shared" si="42"/>
        <v>24.972000000000001</v>
      </c>
      <c r="S51">
        <f t="shared" si="46"/>
        <v>6.9719999999999942</v>
      </c>
      <c r="T51">
        <f t="shared" si="47"/>
        <v>21.82569496619082</v>
      </c>
      <c r="U51">
        <v>20</v>
      </c>
      <c r="V51">
        <v>28.529299999999999</v>
      </c>
      <c r="W51">
        <v>31.868099999999998</v>
      </c>
      <c r="X51">
        <f t="shared" si="48"/>
        <v>3.3387999999999991</v>
      </c>
      <c r="Y51">
        <f t="shared" si="49"/>
        <v>3338.7999999999993</v>
      </c>
      <c r="Z51">
        <v>31.743400000000001</v>
      </c>
      <c r="AA51">
        <f t="shared" si="50"/>
        <v>3.214100000000002</v>
      </c>
      <c r="AB51">
        <f t="shared" si="43"/>
        <v>3214.1000000000022</v>
      </c>
      <c r="AC51">
        <f t="shared" si="51"/>
        <v>124.69999999999709</v>
      </c>
      <c r="AD51">
        <v>1.0202627626905951</v>
      </c>
      <c r="AE51">
        <f t="shared" si="1"/>
        <v>0.29791672670565378</v>
      </c>
      <c r="AF51">
        <f t="shared" si="44"/>
        <v>3.7348748053191905</v>
      </c>
      <c r="AG51">
        <f t="shared" si="52"/>
        <v>3.7445549299149086</v>
      </c>
      <c r="AH51">
        <f t="shared" si="53"/>
        <v>1.1155655476897685E-2</v>
      </c>
      <c r="AI51" s="2">
        <f t="shared" si="34"/>
        <v>0.55778277384488428</v>
      </c>
      <c r="AJ51">
        <v>25</v>
      </c>
      <c r="AK51">
        <f>AH51-(AK52+AK53)</f>
        <v>-1.6838729514147138E-3</v>
      </c>
      <c r="AL51">
        <f t="shared" si="54"/>
        <v>-6.7354918056588547E-5</v>
      </c>
    </row>
    <row r="52" spans="1:39" x14ac:dyDescent="0.2">
      <c r="A52" t="s">
        <v>44</v>
      </c>
      <c r="B52">
        <v>2005</v>
      </c>
      <c r="C52">
        <f t="shared" si="35"/>
        <v>20</v>
      </c>
      <c r="D52">
        <v>1</v>
      </c>
      <c r="E52">
        <v>2</v>
      </c>
      <c r="F52" t="s">
        <v>39</v>
      </c>
      <c r="G52">
        <v>25</v>
      </c>
      <c r="H52">
        <v>11</v>
      </c>
      <c r="I52">
        <f t="shared" si="45"/>
        <v>0.44</v>
      </c>
      <c r="K52">
        <v>4</v>
      </c>
      <c r="M52">
        <v>9</v>
      </c>
      <c r="N52">
        <v>1.7969999999999999</v>
      </c>
      <c r="O52">
        <v>32.979999999999997</v>
      </c>
      <c r="P52">
        <f t="shared" si="41"/>
        <v>31.182999999999996</v>
      </c>
      <c r="Q52">
        <v>26.405999999999999</v>
      </c>
      <c r="R52">
        <f t="shared" si="42"/>
        <v>24.608999999999998</v>
      </c>
      <c r="S52">
        <f t="shared" si="46"/>
        <v>6.5739999999999981</v>
      </c>
      <c r="T52">
        <f t="shared" si="47"/>
        <v>21.081999807587465</v>
      </c>
      <c r="U52">
        <v>17</v>
      </c>
      <c r="V52">
        <v>28.977</v>
      </c>
      <c r="W52">
        <v>31.952100000000002</v>
      </c>
      <c r="X52">
        <f t="shared" si="48"/>
        <v>2.9751000000000012</v>
      </c>
      <c r="Y52">
        <f t="shared" si="49"/>
        <v>2975.1000000000013</v>
      </c>
      <c r="Z52">
        <v>31.8309</v>
      </c>
      <c r="AA52">
        <f t="shared" si="50"/>
        <v>2.8538999999999994</v>
      </c>
      <c r="AB52">
        <f t="shared" si="43"/>
        <v>2853.8999999999996</v>
      </c>
      <c r="AC52">
        <f t="shared" si="51"/>
        <v>121.20000000000164</v>
      </c>
      <c r="AD52">
        <v>0.75469284577388129</v>
      </c>
      <c r="AE52">
        <f t="shared" si="1"/>
        <v>0.33206485214050779</v>
      </c>
      <c r="AF52">
        <f t="shared" si="44"/>
        <v>4.073812644953164</v>
      </c>
      <c r="AG52">
        <f t="shared" si="52"/>
        <v>3.8665725521831389</v>
      </c>
      <c r="AH52">
        <f t="shared" si="53"/>
        <v>1.2839528428312399E-2</v>
      </c>
      <c r="AI52" s="2">
        <f t="shared" si="34"/>
        <v>0.32098821070780997</v>
      </c>
      <c r="AJ52">
        <v>15</v>
      </c>
      <c r="AK52">
        <f>AH52-AH53</f>
        <v>-2.4119418715482382E-2</v>
      </c>
      <c r="AL52">
        <f t="shared" si="54"/>
        <v>-1.6079612476988254E-3</v>
      </c>
    </row>
    <row r="53" spans="1:39" x14ac:dyDescent="0.2">
      <c r="A53" t="s">
        <v>44</v>
      </c>
      <c r="B53">
        <v>2005</v>
      </c>
      <c r="C53">
        <f t="shared" si="35"/>
        <v>20</v>
      </c>
      <c r="D53">
        <v>1</v>
      </c>
      <c r="E53">
        <v>2</v>
      </c>
      <c r="F53" t="s">
        <v>40</v>
      </c>
      <c r="G53">
        <v>10</v>
      </c>
      <c r="H53">
        <v>10</v>
      </c>
      <c r="I53">
        <f t="shared" si="45"/>
        <v>1</v>
      </c>
      <c r="K53">
        <v>4</v>
      </c>
      <c r="M53">
        <v>10</v>
      </c>
      <c r="N53">
        <v>1.79</v>
      </c>
      <c r="O53">
        <v>32.427</v>
      </c>
      <c r="P53">
        <f t="shared" si="41"/>
        <v>30.637</v>
      </c>
      <c r="Q53">
        <v>25.106000000000002</v>
      </c>
      <c r="R53">
        <f t="shared" si="42"/>
        <v>23.316000000000003</v>
      </c>
      <c r="S53">
        <f t="shared" si="46"/>
        <v>7.320999999999998</v>
      </c>
      <c r="T53">
        <f t="shared" si="47"/>
        <v>23.895942814244208</v>
      </c>
      <c r="U53">
        <v>2</v>
      </c>
      <c r="V53">
        <v>26.6465</v>
      </c>
      <c r="W53">
        <v>29.8201</v>
      </c>
      <c r="X53">
        <f t="shared" si="48"/>
        <v>3.1736000000000004</v>
      </c>
      <c r="Y53">
        <f t="shared" si="49"/>
        <v>3173.6000000000004</v>
      </c>
      <c r="Z53">
        <v>29.686599999999999</v>
      </c>
      <c r="AA53">
        <f t="shared" si="50"/>
        <v>3.0400999999999989</v>
      </c>
      <c r="AB53">
        <f t="shared" si="43"/>
        <v>3040.099999999999</v>
      </c>
      <c r="AC53">
        <f t="shared" si="51"/>
        <v>133.50000000000136</v>
      </c>
      <c r="AD53">
        <v>0.94418669989266912</v>
      </c>
      <c r="AE53">
        <f t="shared" si="1"/>
        <v>0.94418669989266912</v>
      </c>
      <c r="AF53">
        <f t="shared" si="44"/>
        <v>4.2065792790522227</v>
      </c>
      <c r="AG53">
        <f t="shared" si="52"/>
        <v>3.9143685404588</v>
      </c>
      <c r="AH53">
        <f t="shared" si="53"/>
        <v>3.6958947143794781E-2</v>
      </c>
      <c r="AI53" s="2">
        <f t="shared" si="34"/>
        <v>0.36958947143794779</v>
      </c>
      <c r="AJ53">
        <v>10</v>
      </c>
      <c r="AK53">
        <f>AH53</f>
        <v>3.6958947143794781E-2</v>
      </c>
      <c r="AL53">
        <f t="shared" si="54"/>
        <v>3.6958947143794782E-3</v>
      </c>
    </row>
    <row r="54" spans="1:39" x14ac:dyDescent="0.2">
      <c r="A54" t="s">
        <v>44</v>
      </c>
      <c r="B54">
        <v>2005</v>
      </c>
      <c r="C54">
        <f t="shared" si="35"/>
        <v>20</v>
      </c>
      <c r="D54">
        <v>1</v>
      </c>
      <c r="E54">
        <v>3</v>
      </c>
      <c r="F54" s="3" t="s">
        <v>41</v>
      </c>
      <c r="G54">
        <v>50</v>
      </c>
      <c r="H54">
        <v>17.2</v>
      </c>
      <c r="I54">
        <f t="shared" si="45"/>
        <v>0.34399999999999997</v>
      </c>
      <c r="K54">
        <v>4</v>
      </c>
      <c r="M54">
        <v>11</v>
      </c>
      <c r="N54">
        <v>1.823</v>
      </c>
      <c r="O54">
        <v>37.752000000000002</v>
      </c>
      <c r="P54">
        <f t="shared" si="41"/>
        <v>35.929000000000002</v>
      </c>
      <c r="Q54">
        <v>29.843</v>
      </c>
      <c r="R54">
        <f t="shared" si="42"/>
        <v>28.02</v>
      </c>
      <c r="S54">
        <f t="shared" si="46"/>
        <v>7.9090000000000025</v>
      </c>
      <c r="T54">
        <f t="shared" si="47"/>
        <v>22.012858693534476</v>
      </c>
      <c r="U54">
        <v>3</v>
      </c>
      <c r="V54">
        <v>28.9665</v>
      </c>
      <c r="W54">
        <v>31.523</v>
      </c>
      <c r="X54">
        <f t="shared" si="48"/>
        <v>2.5564999999999998</v>
      </c>
      <c r="Y54">
        <f t="shared" si="49"/>
        <v>2556.5</v>
      </c>
      <c r="Z54">
        <v>31.42</v>
      </c>
      <c r="AA54">
        <f t="shared" si="50"/>
        <v>2.4535000000000018</v>
      </c>
      <c r="AB54">
        <f t="shared" si="43"/>
        <v>2453.5000000000018</v>
      </c>
      <c r="AC54">
        <f t="shared" si="51"/>
        <v>102.99999999999818</v>
      </c>
      <c r="AD54">
        <v>1.0202627626905951</v>
      </c>
      <c r="AE54">
        <f t="shared" si="1"/>
        <v>0.35097039036556471</v>
      </c>
      <c r="AF54">
        <f t="shared" si="44"/>
        <v>4.0289458243691838</v>
      </c>
      <c r="AG54">
        <f t="shared" si="52"/>
        <v>3.8504204967729061</v>
      </c>
      <c r="AH54">
        <f t="shared" si="53"/>
        <v>1.3513835848239586E-2</v>
      </c>
      <c r="AI54" s="2">
        <f t="shared" si="34"/>
        <v>0.6756917924119793</v>
      </c>
      <c r="AJ54">
        <v>25</v>
      </c>
      <c r="AK54">
        <f>AH54-(AK55+AK56)</f>
        <v>-1.2437830950936309E-3</v>
      </c>
      <c r="AL54">
        <f t="shared" si="54"/>
        <v>-4.9751323803745236E-5</v>
      </c>
    </row>
    <row r="55" spans="1:39" x14ac:dyDescent="0.2">
      <c r="A55" t="s">
        <v>44</v>
      </c>
      <c r="B55">
        <v>2005</v>
      </c>
      <c r="C55">
        <f t="shared" si="35"/>
        <v>20</v>
      </c>
      <c r="D55">
        <v>1</v>
      </c>
      <c r="E55">
        <v>3</v>
      </c>
      <c r="F55" t="s">
        <v>39</v>
      </c>
      <c r="G55">
        <v>25</v>
      </c>
      <c r="H55">
        <v>12.5</v>
      </c>
      <c r="I55">
        <f t="shared" si="45"/>
        <v>0.5</v>
      </c>
      <c r="K55">
        <v>4</v>
      </c>
      <c r="M55">
        <v>12</v>
      </c>
      <c r="N55">
        <v>1.8460000000000001</v>
      </c>
      <c r="O55">
        <v>35.722999999999999</v>
      </c>
      <c r="P55">
        <f t="shared" si="41"/>
        <v>33.876999999999995</v>
      </c>
      <c r="Q55">
        <v>27.696000000000002</v>
      </c>
      <c r="R55">
        <f t="shared" si="42"/>
        <v>25.85</v>
      </c>
      <c r="S55">
        <f t="shared" si="46"/>
        <v>8.0269999999999939</v>
      </c>
      <c r="T55">
        <f t="shared" si="47"/>
        <v>23.694542019659341</v>
      </c>
      <c r="U55">
        <v>11</v>
      </c>
      <c r="V55">
        <v>27.443899999999999</v>
      </c>
      <c r="W55">
        <v>30.679600000000001</v>
      </c>
      <c r="X55">
        <f t="shared" si="48"/>
        <v>3.2357000000000014</v>
      </c>
      <c r="Y55">
        <f t="shared" si="49"/>
        <v>3235.7000000000012</v>
      </c>
      <c r="Z55">
        <v>30.543800000000001</v>
      </c>
      <c r="AA55">
        <f t="shared" si="50"/>
        <v>3.0999000000000017</v>
      </c>
      <c r="AB55">
        <f t="shared" si="43"/>
        <v>3099.9000000000015</v>
      </c>
      <c r="AC55">
        <f t="shared" si="51"/>
        <v>135.79999999999973</v>
      </c>
      <c r="AD55">
        <v>0.75469284577388129</v>
      </c>
      <c r="AE55">
        <f t="shared" si="1"/>
        <v>0.37734642288694065</v>
      </c>
      <c r="AF55">
        <f t="shared" si="44"/>
        <v>4.1969280217572607</v>
      </c>
      <c r="AG55">
        <f t="shared" si="52"/>
        <v>3.9108940878326139</v>
      </c>
      <c r="AH55">
        <f t="shared" si="53"/>
        <v>1.4757618943333217E-2</v>
      </c>
      <c r="AI55" s="2">
        <f t="shared" si="34"/>
        <v>0.36894047358333043</v>
      </c>
      <c r="AJ55">
        <v>15</v>
      </c>
      <c r="AK55">
        <f>AH55-AH56</f>
        <v>-1.9166836989128778E-2</v>
      </c>
      <c r="AL55">
        <f t="shared" si="54"/>
        <v>-1.2777891326085852E-3</v>
      </c>
      <c r="AM55" t="s">
        <v>45</v>
      </c>
    </row>
    <row r="56" spans="1:39" x14ac:dyDescent="0.2">
      <c r="A56" t="s">
        <v>44</v>
      </c>
      <c r="B56">
        <v>2005</v>
      </c>
      <c r="C56">
        <f t="shared" si="35"/>
        <v>20</v>
      </c>
      <c r="D56">
        <v>1</v>
      </c>
      <c r="E56">
        <v>3</v>
      </c>
      <c r="F56" t="s">
        <v>40</v>
      </c>
      <c r="G56">
        <v>10</v>
      </c>
      <c r="H56">
        <v>9.5</v>
      </c>
      <c r="I56">
        <f t="shared" si="45"/>
        <v>0.95</v>
      </c>
      <c r="K56">
        <v>4</v>
      </c>
      <c r="M56">
        <v>13</v>
      </c>
      <c r="N56">
        <v>1.837</v>
      </c>
      <c r="O56">
        <v>32.470999999999997</v>
      </c>
      <c r="P56">
        <f t="shared" si="41"/>
        <v>30.633999999999997</v>
      </c>
      <c r="Q56">
        <v>25.896000000000001</v>
      </c>
      <c r="R56">
        <f t="shared" si="42"/>
        <v>24.059000000000001</v>
      </c>
      <c r="S56">
        <f t="shared" si="46"/>
        <v>6.5749999999999957</v>
      </c>
      <c r="T56">
        <f t="shared" si="47"/>
        <v>21.463080237644437</v>
      </c>
      <c r="U56">
        <v>10</v>
      </c>
      <c r="V56">
        <v>28.571300000000001</v>
      </c>
      <c r="W56">
        <v>31.910599999999999</v>
      </c>
      <c r="X56">
        <f t="shared" si="48"/>
        <v>3.3392999999999979</v>
      </c>
      <c r="Y56">
        <f t="shared" si="49"/>
        <v>3339.2999999999979</v>
      </c>
      <c r="Z56">
        <v>31.782399999999999</v>
      </c>
      <c r="AA56">
        <f t="shared" si="50"/>
        <v>3.2110999999999983</v>
      </c>
      <c r="AB56">
        <f t="shared" si="43"/>
        <v>3211.0999999999981</v>
      </c>
      <c r="AC56">
        <f t="shared" si="51"/>
        <v>128.19999999999982</v>
      </c>
      <c r="AD56">
        <v>0.94418669989266912</v>
      </c>
      <c r="AE56">
        <f t="shared" si="1"/>
        <v>0.89697736489803559</v>
      </c>
      <c r="AF56">
        <f t="shared" si="44"/>
        <v>3.8391279609498965</v>
      </c>
      <c r="AG56">
        <f t="shared" si="52"/>
        <v>3.7820860659419626</v>
      </c>
      <c r="AH56">
        <f t="shared" si="53"/>
        <v>3.3924455932461996E-2</v>
      </c>
      <c r="AI56" s="2">
        <f t="shared" si="34"/>
        <v>0.33924455932461994</v>
      </c>
      <c r="AJ56">
        <v>10</v>
      </c>
      <c r="AK56">
        <f>AH56</f>
        <v>3.3924455932461996E-2</v>
      </c>
      <c r="AL56">
        <f t="shared" si="54"/>
        <v>3.3924455932461996E-3</v>
      </c>
    </row>
    <row r="57" spans="1:39" x14ac:dyDescent="0.2">
      <c r="A57" t="s">
        <v>44</v>
      </c>
      <c r="B57">
        <v>2005</v>
      </c>
      <c r="C57">
        <f t="shared" si="35"/>
        <v>20</v>
      </c>
      <c r="D57">
        <v>2</v>
      </c>
      <c r="E57">
        <v>1</v>
      </c>
      <c r="F57" s="3" t="s">
        <v>41</v>
      </c>
      <c r="G57">
        <v>50</v>
      </c>
      <c r="H57">
        <v>15.5</v>
      </c>
      <c r="I57">
        <f t="shared" si="45"/>
        <v>0.31</v>
      </c>
      <c r="K57">
        <v>4</v>
      </c>
      <c r="M57">
        <v>14</v>
      </c>
      <c r="N57">
        <v>1.8340000000000001</v>
      </c>
      <c r="O57">
        <v>33.982999999999997</v>
      </c>
      <c r="P57">
        <f t="shared" si="41"/>
        <v>32.148999999999994</v>
      </c>
      <c r="Q57">
        <v>27.478999999999999</v>
      </c>
      <c r="R57">
        <f t="shared" si="42"/>
        <v>25.645</v>
      </c>
      <c r="S57">
        <f t="shared" si="46"/>
        <v>6.5039999999999942</v>
      </c>
      <c r="T57">
        <f t="shared" si="47"/>
        <v>20.230800335935783</v>
      </c>
      <c r="U57">
        <v>18</v>
      </c>
      <c r="V57">
        <v>27.354700000000001</v>
      </c>
      <c r="W57">
        <v>30.313199999999998</v>
      </c>
      <c r="X57">
        <f t="shared" si="48"/>
        <v>2.9584999999999972</v>
      </c>
      <c r="Y57">
        <f t="shared" si="49"/>
        <v>2958.4999999999973</v>
      </c>
      <c r="Z57">
        <v>30.1936</v>
      </c>
      <c r="AA57">
        <f t="shared" si="50"/>
        <v>2.8388999999999989</v>
      </c>
      <c r="AB57">
        <f t="shared" si="43"/>
        <v>2838.8999999999987</v>
      </c>
      <c r="AC57">
        <f t="shared" si="51"/>
        <v>119.59999999999854</v>
      </c>
      <c r="AD57">
        <v>1.0202627626905951</v>
      </c>
      <c r="AE57">
        <f t="shared" si="1"/>
        <v>0.31628145643408451</v>
      </c>
      <c r="AF57">
        <f t="shared" si="44"/>
        <v>4.0425891499070019</v>
      </c>
      <c r="AG57">
        <f t="shared" si="52"/>
        <v>3.8553320939665205</v>
      </c>
      <c r="AH57">
        <f t="shared" si="53"/>
        <v>1.2193700497168E-2</v>
      </c>
      <c r="AI57" s="2">
        <f t="shared" si="34"/>
        <v>0.60968502485839993</v>
      </c>
      <c r="AJ57">
        <v>25</v>
      </c>
      <c r="AK57">
        <f>AH57-(AK58+AK59)</f>
        <v>-6.7620166392773143E-3</v>
      </c>
      <c r="AL57">
        <f t="shared" si="54"/>
        <v>-2.7048066557109257E-4</v>
      </c>
    </row>
    <row r="58" spans="1:39" x14ac:dyDescent="0.2">
      <c r="A58" t="s">
        <v>44</v>
      </c>
      <c r="B58">
        <v>2005</v>
      </c>
      <c r="C58">
        <f t="shared" si="35"/>
        <v>20</v>
      </c>
      <c r="D58">
        <v>2</v>
      </c>
      <c r="E58">
        <v>1</v>
      </c>
      <c r="F58" t="s">
        <v>39</v>
      </c>
      <c r="G58">
        <v>25</v>
      </c>
      <c r="H58">
        <v>15.5</v>
      </c>
      <c r="I58">
        <f t="shared" si="45"/>
        <v>0.62</v>
      </c>
      <c r="K58">
        <v>4</v>
      </c>
      <c r="M58">
        <v>15</v>
      </c>
      <c r="N58">
        <v>1.8480000000000001</v>
      </c>
      <c r="O58">
        <v>35.012</v>
      </c>
      <c r="P58">
        <f t="shared" si="41"/>
        <v>33.164000000000001</v>
      </c>
      <c r="Q58">
        <v>27.056000000000001</v>
      </c>
      <c r="R58">
        <f t="shared" si="42"/>
        <v>25.208000000000002</v>
      </c>
      <c r="S58">
        <f t="shared" si="46"/>
        <v>7.9559999999999995</v>
      </c>
      <c r="T58">
        <f t="shared" si="47"/>
        <v>23.989868532143284</v>
      </c>
      <c r="U58">
        <v>6</v>
      </c>
      <c r="V58">
        <v>30.165400000000002</v>
      </c>
      <c r="W58">
        <v>33.3748</v>
      </c>
      <c r="X58">
        <f t="shared" si="48"/>
        <v>3.2093999999999987</v>
      </c>
      <c r="Y58">
        <f t="shared" si="49"/>
        <v>3209.3999999999987</v>
      </c>
      <c r="Z58">
        <v>33.227600000000002</v>
      </c>
      <c r="AA58">
        <f t="shared" si="50"/>
        <v>3.0622000000000007</v>
      </c>
      <c r="AB58">
        <f t="shared" si="43"/>
        <v>3062.2000000000007</v>
      </c>
      <c r="AC58">
        <f t="shared" si="51"/>
        <v>147.199999999998</v>
      </c>
      <c r="AD58">
        <v>0.75469284577388129</v>
      </c>
      <c r="AE58">
        <f t="shared" si="1"/>
        <v>0.46790956437980641</v>
      </c>
      <c r="AF58">
        <f t="shared" si="44"/>
        <v>4.5865270767120974</v>
      </c>
      <c r="AG58">
        <f t="shared" si="52"/>
        <v>4.0511497476163552</v>
      </c>
      <c r="AH58">
        <f t="shared" si="53"/>
        <v>1.8955717136445314E-2</v>
      </c>
      <c r="AI58" s="2">
        <f t="shared" si="34"/>
        <v>0.47389292841113284</v>
      </c>
      <c r="AJ58">
        <v>15</v>
      </c>
      <c r="AK58">
        <f>AH58-AH59</f>
        <v>7.724101815157515E-4</v>
      </c>
      <c r="AL58">
        <f t="shared" si="54"/>
        <v>5.14940121010501E-5</v>
      </c>
    </row>
    <row r="59" spans="1:39" x14ac:dyDescent="0.2">
      <c r="A59" t="s">
        <v>44</v>
      </c>
      <c r="B59">
        <v>2005</v>
      </c>
      <c r="C59">
        <f t="shared" si="35"/>
        <v>20</v>
      </c>
      <c r="D59">
        <v>2</v>
      </c>
      <c r="E59">
        <v>1</v>
      </c>
      <c r="F59" t="s">
        <v>40</v>
      </c>
      <c r="G59">
        <v>10</v>
      </c>
      <c r="H59">
        <v>5</v>
      </c>
      <c r="I59">
        <f t="shared" si="45"/>
        <v>0.5</v>
      </c>
      <c r="K59">
        <v>4</v>
      </c>
      <c r="M59">
        <v>16</v>
      </c>
      <c r="N59">
        <v>1.8160000000000001</v>
      </c>
      <c r="O59">
        <v>32.570999999999998</v>
      </c>
      <c r="P59">
        <f t="shared" si="41"/>
        <v>30.754999999999999</v>
      </c>
      <c r="Q59">
        <v>26.47</v>
      </c>
      <c r="R59">
        <f t="shared" si="42"/>
        <v>24.654</v>
      </c>
      <c r="S59">
        <f t="shared" si="46"/>
        <v>6.1009999999999991</v>
      </c>
      <c r="T59">
        <f t="shared" si="47"/>
        <v>19.837424808974149</v>
      </c>
      <c r="U59">
        <v>19</v>
      </c>
      <c r="V59">
        <v>28.572700000000001</v>
      </c>
      <c r="W59">
        <v>32.744</v>
      </c>
      <c r="X59">
        <f t="shared" si="48"/>
        <v>4.1712999999999987</v>
      </c>
      <c r="Y59">
        <f t="shared" si="49"/>
        <v>4171.2999999999984</v>
      </c>
      <c r="Z59">
        <v>32.575800000000001</v>
      </c>
      <c r="AA59">
        <f t="shared" si="50"/>
        <v>4.0030999999999999</v>
      </c>
      <c r="AB59">
        <f t="shared" si="43"/>
        <v>4003.1</v>
      </c>
      <c r="AC59">
        <f t="shared" si="51"/>
        <v>168.19999999999845</v>
      </c>
      <c r="AD59">
        <v>0.94418669989266912</v>
      </c>
      <c r="AE59">
        <f t="shared" si="1"/>
        <v>0.47209334994633456</v>
      </c>
      <c r="AF59">
        <f t="shared" si="44"/>
        <v>4.0323160645362002</v>
      </c>
      <c r="AG59">
        <f t="shared" si="52"/>
        <v>3.8516337832330318</v>
      </c>
      <c r="AH59">
        <f t="shared" si="53"/>
        <v>1.8183306954929562E-2</v>
      </c>
      <c r="AI59" s="2">
        <f t="shared" si="34"/>
        <v>0.18183306954929562</v>
      </c>
      <c r="AJ59">
        <v>10</v>
      </c>
      <c r="AK59">
        <f>AH59</f>
        <v>1.8183306954929562E-2</v>
      </c>
      <c r="AL59">
        <f t="shared" si="54"/>
        <v>1.8183306954929561E-3</v>
      </c>
      <c r="AM59" t="s">
        <v>46</v>
      </c>
    </row>
    <row r="60" spans="1:39" x14ac:dyDescent="0.2">
      <c r="A60" t="s">
        <v>44</v>
      </c>
      <c r="B60">
        <v>2005</v>
      </c>
      <c r="C60">
        <f t="shared" si="35"/>
        <v>20</v>
      </c>
      <c r="D60">
        <v>2</v>
      </c>
      <c r="E60">
        <v>2</v>
      </c>
      <c r="F60" s="3" t="s">
        <v>41</v>
      </c>
      <c r="G60">
        <v>50</v>
      </c>
      <c r="H60">
        <v>17.5</v>
      </c>
      <c r="I60">
        <f t="shared" si="45"/>
        <v>0.35</v>
      </c>
      <c r="K60">
        <v>4</v>
      </c>
      <c r="M60">
        <v>17</v>
      </c>
      <c r="N60">
        <v>1.823</v>
      </c>
      <c r="O60">
        <v>34.020000000000003</v>
      </c>
      <c r="P60">
        <f t="shared" si="41"/>
        <v>32.197000000000003</v>
      </c>
      <c r="Q60">
        <v>26.945</v>
      </c>
      <c r="R60">
        <f t="shared" si="42"/>
        <v>25.122</v>
      </c>
      <c r="S60">
        <f t="shared" si="46"/>
        <v>7.0750000000000028</v>
      </c>
      <c r="T60">
        <f t="shared" si="47"/>
        <v>21.974096965555802</v>
      </c>
      <c r="U60">
        <v>15</v>
      </c>
      <c r="V60">
        <v>27.838000000000001</v>
      </c>
      <c r="W60">
        <v>31.654900000000001</v>
      </c>
      <c r="X60">
        <f t="shared" si="48"/>
        <v>3.8169000000000004</v>
      </c>
      <c r="Y60">
        <f t="shared" si="49"/>
        <v>3816.9000000000005</v>
      </c>
      <c r="Z60">
        <v>31.476600000000001</v>
      </c>
      <c r="AA60">
        <f t="shared" si="50"/>
        <v>3.6386000000000003</v>
      </c>
      <c r="AB60">
        <f t="shared" si="43"/>
        <v>3638.6000000000004</v>
      </c>
      <c r="AC60">
        <f t="shared" si="51"/>
        <v>178.30000000000018</v>
      </c>
      <c r="AD60">
        <v>1.0202627626905951</v>
      </c>
      <c r="AE60">
        <f t="shared" si="1"/>
        <v>0.35709196694170825</v>
      </c>
      <c r="AF60">
        <f t="shared" si="44"/>
        <v>4.6713301370221947</v>
      </c>
      <c r="AG60">
        <f t="shared" si="52"/>
        <v>4.0816788493279894</v>
      </c>
      <c r="AH60">
        <f t="shared" si="53"/>
        <v>1.4575347287309002E-2</v>
      </c>
      <c r="AI60" s="2">
        <f t="shared" si="34"/>
        <v>0.72876736436545009</v>
      </c>
      <c r="AJ60">
        <v>25</v>
      </c>
      <c r="AK60">
        <f>AH60-(AK61+AK62)</f>
        <v>-4.2258620959293378E-3</v>
      </c>
      <c r="AL60">
        <f t="shared" si="54"/>
        <v>-1.6903448383717351E-4</v>
      </c>
    </row>
    <row r="61" spans="1:39" x14ac:dyDescent="0.2">
      <c r="A61" t="s">
        <v>44</v>
      </c>
      <c r="B61">
        <v>2005</v>
      </c>
      <c r="C61">
        <f t="shared" si="35"/>
        <v>20</v>
      </c>
      <c r="D61">
        <v>2</v>
      </c>
      <c r="E61">
        <v>2</v>
      </c>
      <c r="F61" t="s">
        <v>39</v>
      </c>
      <c r="G61">
        <v>25</v>
      </c>
      <c r="H61">
        <v>16</v>
      </c>
      <c r="I61">
        <f t="shared" si="45"/>
        <v>0.64</v>
      </c>
      <c r="K61">
        <v>4</v>
      </c>
      <c r="M61">
        <v>18</v>
      </c>
      <c r="N61">
        <v>1.8320000000000001</v>
      </c>
      <c r="O61">
        <v>33.478999999999999</v>
      </c>
      <c r="P61">
        <f t="shared" si="41"/>
        <v>31.646999999999998</v>
      </c>
      <c r="Q61">
        <v>25.85</v>
      </c>
      <c r="R61">
        <f t="shared" si="42"/>
        <v>24.018000000000001</v>
      </c>
      <c r="S61">
        <f t="shared" si="46"/>
        <v>7.6289999999999978</v>
      </c>
      <c r="T61">
        <f t="shared" si="47"/>
        <v>24.106550383922638</v>
      </c>
      <c r="U61">
        <v>21</v>
      </c>
      <c r="V61">
        <v>31.08</v>
      </c>
      <c r="W61">
        <v>33.701799999999999</v>
      </c>
      <c r="X61">
        <f t="shared" si="48"/>
        <v>2.6218000000000004</v>
      </c>
      <c r="Y61">
        <f t="shared" si="49"/>
        <v>2621.8</v>
      </c>
      <c r="Z61">
        <v>33.5931</v>
      </c>
      <c r="AA61">
        <f t="shared" si="50"/>
        <v>2.5131000000000014</v>
      </c>
      <c r="AB61">
        <f t="shared" si="43"/>
        <v>2513.1000000000013</v>
      </c>
      <c r="AC61">
        <f t="shared" si="51"/>
        <v>108.69999999999891</v>
      </c>
      <c r="AD61">
        <v>0.75469284577388129</v>
      </c>
      <c r="AE61">
        <f t="shared" si="1"/>
        <v>0.48300342129528406</v>
      </c>
      <c r="AF61">
        <f t="shared" si="44"/>
        <v>4.146006560378324</v>
      </c>
      <c r="AG61">
        <f t="shared" si="52"/>
        <v>3.8925623617361964</v>
      </c>
      <c r="AH61">
        <f t="shared" si="53"/>
        <v>1.880120938323834E-2</v>
      </c>
      <c r="AI61" s="2">
        <f t="shared" si="34"/>
        <v>0.47003023458095849</v>
      </c>
      <c r="AJ61">
        <v>15</v>
      </c>
      <c r="AK61">
        <f>AH61-AH62</f>
        <v>-1.3875372406058125E-2</v>
      </c>
      <c r="AL61">
        <f t="shared" si="54"/>
        <v>-9.250248270705417E-4</v>
      </c>
    </row>
    <row r="62" spans="1:39" x14ac:dyDescent="0.2">
      <c r="A62" t="s">
        <v>44</v>
      </c>
      <c r="B62">
        <v>2005</v>
      </c>
      <c r="C62">
        <f t="shared" si="35"/>
        <v>20</v>
      </c>
      <c r="D62">
        <v>2</v>
      </c>
      <c r="E62">
        <v>2</v>
      </c>
      <c r="F62" t="s">
        <v>40</v>
      </c>
      <c r="G62">
        <v>10</v>
      </c>
      <c r="H62">
        <v>9</v>
      </c>
      <c r="I62">
        <f t="shared" si="45"/>
        <v>0.9</v>
      </c>
      <c r="K62">
        <v>5.2</v>
      </c>
      <c r="M62">
        <v>19</v>
      </c>
      <c r="N62">
        <v>1.83</v>
      </c>
      <c r="O62">
        <v>33.994</v>
      </c>
      <c r="P62">
        <f t="shared" si="41"/>
        <v>32.164000000000001</v>
      </c>
      <c r="Q62">
        <v>27.936</v>
      </c>
      <c r="R62">
        <f t="shared" si="42"/>
        <v>26.106000000000002</v>
      </c>
      <c r="S62">
        <f t="shared" si="46"/>
        <v>6.0579999999999998</v>
      </c>
      <c r="T62">
        <f t="shared" si="47"/>
        <v>18.834722049496332</v>
      </c>
      <c r="U62">
        <v>5</v>
      </c>
      <c r="V62">
        <v>22.166899999999998</v>
      </c>
      <c r="W62">
        <v>26.739899999999999</v>
      </c>
      <c r="X62">
        <f t="shared" si="48"/>
        <v>4.5730000000000004</v>
      </c>
      <c r="Y62">
        <f t="shared" si="49"/>
        <v>4573</v>
      </c>
      <c r="Z62">
        <v>26.5563</v>
      </c>
      <c r="AA62">
        <f t="shared" si="50"/>
        <v>4.389400000000002</v>
      </c>
      <c r="AB62">
        <f t="shared" si="43"/>
        <v>4389.4000000000024</v>
      </c>
      <c r="AC62">
        <f t="shared" si="51"/>
        <v>183.59999999999764</v>
      </c>
      <c r="AD62">
        <v>0.94418669989266912</v>
      </c>
      <c r="AE62">
        <f t="shared" si="1"/>
        <v>0.84976802990340228</v>
      </c>
      <c r="AF62">
        <f t="shared" si="44"/>
        <v>4.0148698884757845</v>
      </c>
      <c r="AG62">
        <f t="shared" si="52"/>
        <v>3.8453531598512822</v>
      </c>
      <c r="AH62">
        <f t="shared" si="53"/>
        <v>3.2676581789296465E-2</v>
      </c>
      <c r="AI62" s="2">
        <f t="shared" si="34"/>
        <v>0.32676581789296466</v>
      </c>
      <c r="AJ62">
        <v>10</v>
      </c>
      <c r="AK62">
        <f>AH62</f>
        <v>3.2676581789296465E-2</v>
      </c>
      <c r="AL62">
        <f t="shared" si="54"/>
        <v>3.2676581789296464E-3</v>
      </c>
      <c r="AM62" t="s">
        <v>47</v>
      </c>
    </row>
    <row r="63" spans="1:39" x14ac:dyDescent="0.2">
      <c r="A63" t="s">
        <v>44</v>
      </c>
      <c r="B63">
        <v>2005</v>
      </c>
      <c r="C63">
        <f t="shared" si="35"/>
        <v>20</v>
      </c>
      <c r="D63">
        <v>2</v>
      </c>
      <c r="E63">
        <v>3</v>
      </c>
      <c r="F63" t="s">
        <v>41</v>
      </c>
      <c r="G63">
        <v>50</v>
      </c>
      <c r="H63">
        <v>19.3</v>
      </c>
      <c r="I63">
        <f t="shared" si="45"/>
        <v>0.38600000000000001</v>
      </c>
      <c r="K63">
        <v>4</v>
      </c>
      <c r="L63">
        <v>24.861999999999998</v>
      </c>
      <c r="M63">
        <v>20</v>
      </c>
      <c r="N63">
        <v>1.835</v>
      </c>
      <c r="O63">
        <v>33.909999999999997</v>
      </c>
      <c r="P63">
        <f t="shared" si="41"/>
        <v>32.074999999999996</v>
      </c>
      <c r="Q63">
        <v>24.818999999999999</v>
      </c>
      <c r="R63">
        <f t="shared" si="42"/>
        <v>22.983999999999998</v>
      </c>
      <c r="S63">
        <f t="shared" si="46"/>
        <v>9.0909999999999975</v>
      </c>
      <c r="T63">
        <f t="shared" si="47"/>
        <v>28.342946219797344</v>
      </c>
      <c r="U63">
        <v>1</v>
      </c>
      <c r="V63">
        <v>27.9679</v>
      </c>
      <c r="W63">
        <v>31.0623</v>
      </c>
      <c r="X63">
        <f t="shared" si="48"/>
        <v>3.0944000000000003</v>
      </c>
      <c r="Y63">
        <f t="shared" si="49"/>
        <v>3094.4</v>
      </c>
      <c r="Z63">
        <v>30.893799999999999</v>
      </c>
      <c r="AA63">
        <f t="shared" si="50"/>
        <v>2.9258999999999986</v>
      </c>
      <c r="AB63">
        <f t="shared" si="43"/>
        <v>2925.8999999999987</v>
      </c>
      <c r="AC63">
        <f t="shared" si="51"/>
        <v>168.50000000000136</v>
      </c>
      <c r="AD63">
        <v>1.0202627626905951</v>
      </c>
      <c r="AE63">
        <f t="shared" si="1"/>
        <v>0.39382142639856971</v>
      </c>
      <c r="AF63">
        <f t="shared" si="44"/>
        <v>5.4453205791106951</v>
      </c>
      <c r="AG63">
        <f t="shared" si="52"/>
        <v>4.3603154084798499</v>
      </c>
      <c r="AH63">
        <f t="shared" si="53"/>
        <v>1.7171856337151965E-2</v>
      </c>
      <c r="AI63" s="2">
        <f t="shared" si="34"/>
        <v>0.85859281685759825</v>
      </c>
      <c r="AJ63">
        <v>25</v>
      </c>
      <c r="AK63">
        <f>AH63-(AK64+AK65)</f>
        <v>1.4076077237748993E-3</v>
      </c>
      <c r="AL63">
        <f t="shared" si="54"/>
        <v>5.6304308950995973E-5</v>
      </c>
    </row>
    <row r="64" spans="1:39" x14ac:dyDescent="0.2">
      <c r="A64" t="s">
        <v>44</v>
      </c>
      <c r="B64">
        <v>2005</v>
      </c>
      <c r="C64">
        <f t="shared" si="35"/>
        <v>20</v>
      </c>
      <c r="D64">
        <v>2</v>
      </c>
      <c r="E64">
        <v>3</v>
      </c>
      <c r="F64" t="s">
        <v>39</v>
      </c>
      <c r="G64">
        <v>25</v>
      </c>
      <c r="H64">
        <v>11.7</v>
      </c>
      <c r="I64">
        <f t="shared" si="45"/>
        <v>0.46799999999999997</v>
      </c>
      <c r="K64">
        <v>4</v>
      </c>
      <c r="M64">
        <v>21</v>
      </c>
      <c r="N64">
        <v>1.851</v>
      </c>
      <c r="O64">
        <v>31.852</v>
      </c>
      <c r="P64">
        <f t="shared" si="41"/>
        <v>30.001000000000001</v>
      </c>
      <c r="Q64">
        <v>24.648</v>
      </c>
      <c r="R64">
        <f t="shared" si="42"/>
        <v>22.797000000000001</v>
      </c>
      <c r="S64">
        <f t="shared" si="46"/>
        <v>7.2040000000000006</v>
      </c>
      <c r="T64">
        <f t="shared" si="47"/>
        <v>24.01253291556948</v>
      </c>
      <c r="U64">
        <v>14</v>
      </c>
      <c r="V64">
        <v>27.799800000000001</v>
      </c>
      <c r="W64">
        <v>30.734500000000001</v>
      </c>
      <c r="X64">
        <f t="shared" si="48"/>
        <v>2.9346999999999994</v>
      </c>
      <c r="Y64">
        <f t="shared" si="49"/>
        <v>2934.6999999999994</v>
      </c>
      <c r="Z64">
        <v>30.566299999999998</v>
      </c>
      <c r="AA64">
        <f t="shared" si="50"/>
        <v>2.7664999999999971</v>
      </c>
      <c r="AB64">
        <f t="shared" si="43"/>
        <v>2766.4999999999973</v>
      </c>
      <c r="AC64">
        <f t="shared" si="51"/>
        <v>168.20000000000209</v>
      </c>
      <c r="AD64">
        <v>0.75469284577388129</v>
      </c>
      <c r="AE64">
        <f t="shared" si="1"/>
        <v>0.3531962518221764</v>
      </c>
      <c r="AF64">
        <f t="shared" si="44"/>
        <v>5.7314205881351459</v>
      </c>
      <c r="AG64">
        <f t="shared" si="52"/>
        <v>4.4633114117286521</v>
      </c>
      <c r="AH64">
        <f t="shared" si="53"/>
        <v>1.5764248613377066E-2</v>
      </c>
      <c r="AI64" s="2">
        <f t="shared" si="34"/>
        <v>0.39410621533442663</v>
      </c>
      <c r="AJ64">
        <v>15</v>
      </c>
      <c r="AK64">
        <f t="shared" ref="AK64" si="55">AH64-AH65</f>
        <v>-2.3330825490332871E-2</v>
      </c>
      <c r="AL64">
        <f t="shared" si="54"/>
        <v>-1.5553883660221915E-3</v>
      </c>
    </row>
    <row r="65" spans="1:39" x14ac:dyDescent="0.2">
      <c r="A65" t="s">
        <v>44</v>
      </c>
      <c r="B65">
        <v>2005</v>
      </c>
      <c r="C65">
        <f t="shared" si="35"/>
        <v>20</v>
      </c>
      <c r="D65">
        <v>2</v>
      </c>
      <c r="E65">
        <v>3</v>
      </c>
      <c r="F65" t="s">
        <v>40</v>
      </c>
      <c r="G65">
        <v>10</v>
      </c>
      <c r="H65">
        <v>9.5</v>
      </c>
      <c r="I65">
        <f t="shared" si="45"/>
        <v>0.95</v>
      </c>
      <c r="K65">
        <v>4</v>
      </c>
      <c r="M65">
        <v>22</v>
      </c>
      <c r="N65">
        <v>1.83</v>
      </c>
      <c r="O65">
        <v>33.115000000000002</v>
      </c>
      <c r="P65">
        <f t="shared" si="41"/>
        <v>31.285000000000004</v>
      </c>
      <c r="Q65">
        <v>25.527000000000001</v>
      </c>
      <c r="R65">
        <f t="shared" si="42"/>
        <v>23.697000000000003</v>
      </c>
      <c r="S65">
        <f t="shared" si="46"/>
        <v>7.588000000000001</v>
      </c>
      <c r="T65">
        <f t="shared" si="47"/>
        <v>24.254435032763304</v>
      </c>
      <c r="U65">
        <v>8</v>
      </c>
      <c r="V65">
        <v>27.346</v>
      </c>
      <c r="W65">
        <v>30.6693</v>
      </c>
      <c r="X65">
        <f t="shared" si="48"/>
        <v>3.3232999999999997</v>
      </c>
      <c r="Y65">
        <f t="shared" si="49"/>
        <v>3323.2999999999997</v>
      </c>
      <c r="Z65">
        <v>30.488499999999998</v>
      </c>
      <c r="AA65">
        <f t="shared" si="50"/>
        <v>3.1424999999999983</v>
      </c>
      <c r="AB65">
        <f t="shared" si="43"/>
        <v>3142.4999999999982</v>
      </c>
      <c r="AC65">
        <f t="shared" si="51"/>
        <v>180.80000000000155</v>
      </c>
      <c r="AD65">
        <v>0.94418669989266912</v>
      </c>
      <c r="AE65">
        <f t="shared" si="1"/>
        <v>0.89697736489803559</v>
      </c>
      <c r="AF65">
        <f t="shared" si="44"/>
        <v>5.4403755303463894</v>
      </c>
      <c r="AG65">
        <f t="shared" si="52"/>
        <v>4.3585351909246999</v>
      </c>
      <c r="AH65">
        <f t="shared" si="53"/>
        <v>3.9095074103709937E-2</v>
      </c>
      <c r="AI65" s="2">
        <f t="shared" si="34"/>
        <v>0.39095074103709937</v>
      </c>
      <c r="AJ65">
        <v>10</v>
      </c>
      <c r="AK65">
        <f t="shared" ref="AK65:AK83" si="56">AH65</f>
        <v>3.9095074103709937E-2</v>
      </c>
      <c r="AL65">
        <f t="shared" si="54"/>
        <v>3.9095074103709937E-3</v>
      </c>
    </row>
    <row r="66" spans="1:39" x14ac:dyDescent="0.2">
      <c r="A66" t="s">
        <v>44</v>
      </c>
      <c r="B66">
        <v>2023</v>
      </c>
      <c r="C66">
        <f t="shared" si="35"/>
        <v>2</v>
      </c>
      <c r="D66">
        <v>3</v>
      </c>
      <c r="E66">
        <v>1</v>
      </c>
      <c r="F66" t="s">
        <v>41</v>
      </c>
      <c r="G66">
        <v>50</v>
      </c>
      <c r="H66">
        <v>14</v>
      </c>
      <c r="I66">
        <f t="shared" si="45"/>
        <v>0.28000000000000003</v>
      </c>
      <c r="K66">
        <v>4</v>
      </c>
      <c r="M66">
        <v>24</v>
      </c>
      <c r="N66">
        <v>1.8380000000000001</v>
      </c>
      <c r="O66">
        <v>34.206000000000003</v>
      </c>
      <c r="P66">
        <f t="shared" si="41"/>
        <v>32.368000000000002</v>
      </c>
      <c r="Q66">
        <v>24.452000000000002</v>
      </c>
      <c r="R66">
        <f t="shared" si="42"/>
        <v>22.614000000000001</v>
      </c>
      <c r="S66">
        <f>P66-R66</f>
        <v>9.7540000000000013</v>
      </c>
      <c r="T66">
        <f>((P66-R66)/P66)*100</f>
        <v>30.13470093919921</v>
      </c>
      <c r="U66">
        <v>3</v>
      </c>
      <c r="V66">
        <v>28.966699999999999</v>
      </c>
      <c r="W66">
        <v>31.771799999999999</v>
      </c>
      <c r="X66">
        <f>W66-V66</f>
        <v>2.8050999999999995</v>
      </c>
      <c r="Y66">
        <f>X66*1000</f>
        <v>2805.0999999999995</v>
      </c>
      <c r="Z66">
        <v>31.621600000000001</v>
      </c>
      <c r="AA66">
        <f>Z66-V66</f>
        <v>2.6549000000000014</v>
      </c>
      <c r="AB66">
        <f>AA66*1000</f>
        <v>2654.9000000000015</v>
      </c>
      <c r="AC66">
        <f>Y66-AB66</f>
        <v>150.199999999998</v>
      </c>
      <c r="AD66">
        <v>1.0202627626905951</v>
      </c>
      <c r="AE66">
        <f t="shared" si="1"/>
        <v>0.28567357355336664</v>
      </c>
      <c r="AF66">
        <f t="shared" si="44"/>
        <v>5.3545328152293337</v>
      </c>
      <c r="AG66">
        <f t="shared" si="52"/>
        <v>4.3276318134825598</v>
      </c>
      <c r="AH66">
        <f t="shared" si="53"/>
        <v>1.2362900451807995E-2</v>
      </c>
      <c r="AI66" s="2">
        <f t="shared" si="34"/>
        <v>0.61814502259039972</v>
      </c>
      <c r="AJ66">
        <v>25</v>
      </c>
      <c r="AK66">
        <f t="shared" si="56"/>
        <v>1.2362900451807995E-2</v>
      </c>
      <c r="AL66">
        <f t="shared" si="54"/>
        <v>4.9451601807231976E-4</v>
      </c>
    </row>
    <row r="67" spans="1:39" x14ac:dyDescent="0.2">
      <c r="A67" t="s">
        <v>44</v>
      </c>
      <c r="B67">
        <v>2023</v>
      </c>
      <c r="C67">
        <f t="shared" si="35"/>
        <v>2</v>
      </c>
      <c r="D67">
        <v>3</v>
      </c>
      <c r="E67">
        <v>1</v>
      </c>
      <c r="F67" t="s">
        <v>39</v>
      </c>
      <c r="G67">
        <v>25</v>
      </c>
      <c r="H67">
        <v>15.4</v>
      </c>
      <c r="I67">
        <f t="shared" si="45"/>
        <v>0.61599999999999999</v>
      </c>
      <c r="K67">
        <v>4</v>
      </c>
      <c r="M67">
        <v>23</v>
      </c>
      <c r="N67">
        <v>1.8240000000000001</v>
      </c>
      <c r="O67">
        <v>32.247</v>
      </c>
      <c r="P67">
        <f t="shared" si="41"/>
        <v>30.422999999999998</v>
      </c>
      <c r="Q67">
        <v>23.81</v>
      </c>
      <c r="R67">
        <f t="shared" si="42"/>
        <v>21.985999999999997</v>
      </c>
      <c r="S67">
        <f t="shared" si="46"/>
        <v>8.4370000000000012</v>
      </c>
      <c r="T67">
        <f t="shared" si="47"/>
        <v>27.732307793445756</v>
      </c>
      <c r="U67">
        <v>11</v>
      </c>
      <c r="V67">
        <v>27.441600000000001</v>
      </c>
      <c r="W67">
        <v>31.2515</v>
      </c>
      <c r="X67">
        <f t="shared" si="48"/>
        <v>3.809899999999999</v>
      </c>
      <c r="Y67">
        <f t="shared" si="49"/>
        <v>3809.8999999999987</v>
      </c>
      <c r="Z67">
        <v>31.083400000000001</v>
      </c>
      <c r="AA67">
        <f t="shared" si="50"/>
        <v>3.6417999999999999</v>
      </c>
      <c r="AB67">
        <f t="shared" si="43"/>
        <v>3641.7999999999997</v>
      </c>
      <c r="AC67">
        <f t="shared" si="51"/>
        <v>168.099999999999</v>
      </c>
      <c r="AD67">
        <v>0.75469284577388129</v>
      </c>
      <c r="AE67">
        <f t="shared" si="1"/>
        <v>0.46489079299671088</v>
      </c>
      <c r="AF67">
        <f t="shared" si="44"/>
        <v>4.4121892963069644</v>
      </c>
      <c r="AG67">
        <f t="shared" si="52"/>
        <v>3.9883881466705073</v>
      </c>
      <c r="AH67">
        <f t="shared" si="53"/>
        <v>1.8541649282843343E-2</v>
      </c>
      <c r="AI67" s="2">
        <f t="shared" si="34"/>
        <v>0.46354123207108355</v>
      </c>
      <c r="AJ67">
        <v>15</v>
      </c>
      <c r="AK67">
        <f t="shared" si="56"/>
        <v>1.8541649282843343E-2</v>
      </c>
      <c r="AL67">
        <f t="shared" si="54"/>
        <v>1.2361099521895561E-3</v>
      </c>
    </row>
    <row r="68" spans="1:39" x14ac:dyDescent="0.2">
      <c r="A68" t="s">
        <v>44</v>
      </c>
      <c r="B68">
        <v>2023</v>
      </c>
      <c r="C68">
        <f t="shared" si="35"/>
        <v>2</v>
      </c>
      <c r="D68">
        <v>3</v>
      </c>
      <c r="E68">
        <v>1</v>
      </c>
      <c r="F68" t="s">
        <v>40</v>
      </c>
      <c r="G68">
        <v>10</v>
      </c>
      <c r="H68">
        <v>10</v>
      </c>
      <c r="I68">
        <f t="shared" si="45"/>
        <v>1</v>
      </c>
      <c r="K68">
        <v>5.2</v>
      </c>
      <c r="M68">
        <v>25</v>
      </c>
      <c r="N68">
        <v>1.829</v>
      </c>
      <c r="O68">
        <v>34.110999999999997</v>
      </c>
      <c r="P68">
        <f t="shared" si="41"/>
        <v>32.281999999999996</v>
      </c>
      <c r="Q68">
        <v>24.652999999999999</v>
      </c>
      <c r="R68">
        <f t="shared" si="42"/>
        <v>22.823999999999998</v>
      </c>
      <c r="S68">
        <f t="shared" si="46"/>
        <v>9.4579999999999984</v>
      </c>
      <c r="T68">
        <f t="shared" si="47"/>
        <v>29.298060838857566</v>
      </c>
      <c r="U68">
        <v>10</v>
      </c>
      <c r="V68">
        <v>28.569900000000001</v>
      </c>
      <c r="W68">
        <v>32.132399999999997</v>
      </c>
      <c r="X68">
        <f t="shared" si="48"/>
        <v>3.5624999999999964</v>
      </c>
      <c r="Y68">
        <f t="shared" si="49"/>
        <v>3562.4999999999964</v>
      </c>
      <c r="Z68">
        <v>31.986000000000001</v>
      </c>
      <c r="AA68">
        <f t="shared" si="50"/>
        <v>3.4161000000000001</v>
      </c>
      <c r="AB68">
        <f t="shared" si="43"/>
        <v>3416.1000000000004</v>
      </c>
      <c r="AC68">
        <f t="shared" si="51"/>
        <v>146.399999999996</v>
      </c>
      <c r="AD68">
        <v>0.94418669989266912</v>
      </c>
      <c r="AE68">
        <f t="shared" si="1"/>
        <v>0.94418669989266912</v>
      </c>
      <c r="AF68">
        <f t="shared" si="44"/>
        <v>4.1094736842104185</v>
      </c>
      <c r="AG68">
        <f t="shared" si="52"/>
        <v>3.8794105263157506</v>
      </c>
      <c r="AH68">
        <f t="shared" si="53"/>
        <v>3.6628878223709513E-2</v>
      </c>
      <c r="AI68" s="2">
        <f t="shared" si="34"/>
        <v>0.36628878223709516</v>
      </c>
      <c r="AJ68">
        <v>10</v>
      </c>
      <c r="AK68">
        <f t="shared" si="56"/>
        <v>3.6628878223709513E-2</v>
      </c>
      <c r="AL68">
        <f t="shared" si="54"/>
        <v>3.6628878223709514E-3</v>
      </c>
    </row>
    <row r="69" spans="1:39" x14ac:dyDescent="0.2">
      <c r="A69" t="s">
        <v>44</v>
      </c>
      <c r="B69">
        <v>2023</v>
      </c>
      <c r="C69">
        <f t="shared" si="35"/>
        <v>2</v>
      </c>
      <c r="D69">
        <v>3</v>
      </c>
      <c r="E69">
        <v>2</v>
      </c>
      <c r="F69" t="s">
        <v>41</v>
      </c>
      <c r="G69">
        <v>50</v>
      </c>
      <c r="H69">
        <v>14.5</v>
      </c>
      <c r="I69">
        <f t="shared" si="45"/>
        <v>0.28999999999999998</v>
      </c>
      <c r="K69">
        <v>4</v>
      </c>
      <c r="M69">
        <v>26</v>
      </c>
      <c r="N69">
        <v>1.8169999999999999</v>
      </c>
      <c r="O69">
        <v>35.280999999999999</v>
      </c>
      <c r="P69">
        <f t="shared" si="41"/>
        <v>33.463999999999999</v>
      </c>
      <c r="Q69">
        <v>24.481000000000002</v>
      </c>
      <c r="R69">
        <f t="shared" si="42"/>
        <v>22.664000000000001</v>
      </c>
      <c r="S69">
        <f t="shared" si="46"/>
        <v>10.799999999999997</v>
      </c>
      <c r="T69">
        <f t="shared" si="47"/>
        <v>32.273487927324879</v>
      </c>
      <c r="U69">
        <v>16</v>
      </c>
      <c r="V69">
        <v>28.4529</v>
      </c>
      <c r="W69">
        <v>30.911899999999999</v>
      </c>
      <c r="X69">
        <f t="shared" si="48"/>
        <v>2.4589999999999996</v>
      </c>
      <c r="Y69">
        <f t="shared" si="49"/>
        <v>2458.9999999999995</v>
      </c>
      <c r="Z69">
        <v>30.782</v>
      </c>
      <c r="AA69">
        <f t="shared" si="50"/>
        <v>2.3291000000000004</v>
      </c>
      <c r="AB69">
        <f t="shared" si="43"/>
        <v>2329.1000000000004</v>
      </c>
      <c r="AC69">
        <f t="shared" si="51"/>
        <v>129.89999999999918</v>
      </c>
      <c r="AD69">
        <v>1.0202627626905951</v>
      </c>
      <c r="AE69">
        <f t="shared" ref="AE69:AE109" si="57">AD69*I69</f>
        <v>0.29587620118027258</v>
      </c>
      <c r="AF69">
        <f t="shared" si="44"/>
        <v>5.2826352175680844</v>
      </c>
      <c r="AG69">
        <f t="shared" si="52"/>
        <v>4.3017486783245102</v>
      </c>
      <c r="AH69">
        <f t="shared" si="53"/>
        <v>1.2727850573749144E-2</v>
      </c>
      <c r="AI69" s="2">
        <f t="shared" si="34"/>
        <v>0.63639252868745722</v>
      </c>
      <c r="AJ69">
        <v>25</v>
      </c>
      <c r="AK69">
        <f t="shared" si="56"/>
        <v>1.2727850573749144E-2</v>
      </c>
      <c r="AL69">
        <f t="shared" si="54"/>
        <v>5.0911402294996579E-4</v>
      </c>
    </row>
    <row r="70" spans="1:39" x14ac:dyDescent="0.2">
      <c r="A70" t="s">
        <v>44</v>
      </c>
      <c r="B70">
        <v>2023</v>
      </c>
      <c r="C70">
        <f t="shared" si="35"/>
        <v>2</v>
      </c>
      <c r="D70">
        <v>3</v>
      </c>
      <c r="E70">
        <v>2</v>
      </c>
      <c r="F70" t="s">
        <v>39</v>
      </c>
      <c r="G70">
        <v>25</v>
      </c>
      <c r="H70">
        <v>10.5</v>
      </c>
      <c r="I70">
        <f t="shared" si="45"/>
        <v>0.42</v>
      </c>
      <c r="K70">
        <v>4</v>
      </c>
      <c r="M70">
        <v>27</v>
      </c>
      <c r="N70">
        <v>1.839</v>
      </c>
      <c r="O70">
        <v>36.270000000000003</v>
      </c>
      <c r="P70">
        <f t="shared" si="41"/>
        <v>34.431000000000004</v>
      </c>
      <c r="Q70">
        <v>25.981000000000002</v>
      </c>
      <c r="R70">
        <f t="shared" si="42"/>
        <v>24.142000000000003</v>
      </c>
      <c r="S70">
        <f t="shared" si="46"/>
        <v>10.289000000000001</v>
      </c>
      <c r="T70">
        <f t="shared" si="47"/>
        <v>29.882954314425952</v>
      </c>
      <c r="U70">
        <v>20</v>
      </c>
      <c r="V70">
        <v>28.529499999999999</v>
      </c>
      <c r="W70">
        <v>31.598400000000002</v>
      </c>
      <c r="X70">
        <f t="shared" si="48"/>
        <v>3.0689000000000028</v>
      </c>
      <c r="Y70">
        <f t="shared" si="49"/>
        <v>3068.9000000000028</v>
      </c>
      <c r="Z70">
        <v>31.446300000000001</v>
      </c>
      <c r="AA70">
        <f t="shared" si="50"/>
        <v>2.9168000000000021</v>
      </c>
      <c r="AB70">
        <f t="shared" si="43"/>
        <v>2916.800000000002</v>
      </c>
      <c r="AC70">
        <f t="shared" si="51"/>
        <v>152.10000000000082</v>
      </c>
      <c r="AD70">
        <v>0.75469284577388129</v>
      </c>
      <c r="AE70">
        <f t="shared" si="57"/>
        <v>0.31697099522503014</v>
      </c>
      <c r="AF70">
        <f t="shared" si="44"/>
        <v>4.9561732216755408</v>
      </c>
      <c r="AG70">
        <f t="shared" si="52"/>
        <v>4.1842223598031945</v>
      </c>
      <c r="AH70">
        <f t="shared" si="53"/>
        <v>1.3262771256296426E-2</v>
      </c>
      <c r="AI70" s="2">
        <f t="shared" si="34"/>
        <v>0.33156928140741065</v>
      </c>
      <c r="AJ70">
        <v>15</v>
      </c>
      <c r="AK70">
        <f t="shared" si="56"/>
        <v>1.3262771256296426E-2</v>
      </c>
      <c r="AL70">
        <f t="shared" si="54"/>
        <v>8.841847504197618E-4</v>
      </c>
    </row>
    <row r="71" spans="1:39" x14ac:dyDescent="0.2">
      <c r="A71" t="s">
        <v>44</v>
      </c>
      <c r="B71">
        <v>2023</v>
      </c>
      <c r="C71">
        <f t="shared" si="35"/>
        <v>2</v>
      </c>
      <c r="D71">
        <v>3</v>
      </c>
      <c r="E71">
        <v>2</v>
      </c>
      <c r="F71" t="s">
        <v>40</v>
      </c>
      <c r="G71">
        <v>10</v>
      </c>
      <c r="H71">
        <v>7.5</v>
      </c>
      <c r="I71">
        <f t="shared" si="45"/>
        <v>0.75</v>
      </c>
      <c r="K71">
        <v>4</v>
      </c>
      <c r="M71">
        <v>28</v>
      </c>
      <c r="N71">
        <v>1.84</v>
      </c>
      <c r="O71">
        <v>32.054000000000002</v>
      </c>
      <c r="P71">
        <f t="shared" si="41"/>
        <v>30.214000000000002</v>
      </c>
      <c r="Q71">
        <v>22.687999999999999</v>
      </c>
      <c r="R71">
        <f t="shared" si="42"/>
        <v>20.847999999999999</v>
      </c>
      <c r="S71">
        <f t="shared" si="46"/>
        <v>9.3660000000000032</v>
      </c>
      <c r="T71">
        <f t="shared" si="47"/>
        <v>30.998874693850542</v>
      </c>
      <c r="U71">
        <v>15</v>
      </c>
      <c r="V71">
        <v>27.837800000000001</v>
      </c>
      <c r="W71">
        <v>31.334299999999999</v>
      </c>
      <c r="X71">
        <f t="shared" si="48"/>
        <v>3.4964999999999975</v>
      </c>
      <c r="Y71">
        <f t="shared" si="49"/>
        <v>3496.4999999999973</v>
      </c>
      <c r="Z71">
        <v>31.177199999999999</v>
      </c>
      <c r="AA71">
        <f t="shared" si="50"/>
        <v>3.3393999999999977</v>
      </c>
      <c r="AB71">
        <f t="shared" si="43"/>
        <v>3339.3999999999978</v>
      </c>
      <c r="AC71">
        <f t="shared" si="51"/>
        <v>157.09999999999945</v>
      </c>
      <c r="AD71">
        <v>0.94418669989266912</v>
      </c>
      <c r="AE71">
        <f t="shared" si="57"/>
        <v>0.70814002491950179</v>
      </c>
      <c r="AF71">
        <f t="shared" si="44"/>
        <v>4.4930644930644812</v>
      </c>
      <c r="AG71">
        <f t="shared" si="52"/>
        <v>4.0175032175032133</v>
      </c>
      <c r="AH71">
        <f t="shared" si="53"/>
        <v>2.8449548285569042E-2</v>
      </c>
      <c r="AI71" s="2">
        <f t="shared" si="34"/>
        <v>0.28449548285569043</v>
      </c>
      <c r="AJ71">
        <v>10</v>
      </c>
      <c r="AK71">
        <f t="shared" si="56"/>
        <v>2.8449548285569042E-2</v>
      </c>
      <c r="AL71">
        <f t="shared" si="54"/>
        <v>2.8449548285569043E-3</v>
      </c>
    </row>
    <row r="72" spans="1:39" x14ac:dyDescent="0.2">
      <c r="A72" t="s">
        <v>44</v>
      </c>
      <c r="B72">
        <v>2023</v>
      </c>
      <c r="C72">
        <f t="shared" si="35"/>
        <v>2</v>
      </c>
      <c r="D72">
        <v>3</v>
      </c>
      <c r="E72">
        <v>3</v>
      </c>
      <c r="F72" t="s">
        <v>41</v>
      </c>
      <c r="G72">
        <v>50</v>
      </c>
      <c r="H72">
        <v>20.2</v>
      </c>
      <c r="I72">
        <f t="shared" si="45"/>
        <v>0.40399999999999997</v>
      </c>
      <c r="K72">
        <v>4</v>
      </c>
      <c r="M72">
        <v>29</v>
      </c>
      <c r="N72">
        <v>1.83</v>
      </c>
      <c r="O72">
        <v>33.47</v>
      </c>
      <c r="P72">
        <f t="shared" si="41"/>
        <v>31.64</v>
      </c>
      <c r="Q72">
        <v>25.891999999999999</v>
      </c>
      <c r="R72">
        <f t="shared" si="42"/>
        <v>24.061999999999998</v>
      </c>
      <c r="S72">
        <f t="shared" si="46"/>
        <v>7.578000000000003</v>
      </c>
      <c r="T72">
        <f t="shared" si="47"/>
        <v>23.950695322376745</v>
      </c>
      <c r="U72">
        <v>17</v>
      </c>
      <c r="V72">
        <v>28.976900000000001</v>
      </c>
      <c r="W72">
        <v>32.813400000000001</v>
      </c>
      <c r="X72">
        <f t="shared" si="48"/>
        <v>3.8365000000000009</v>
      </c>
      <c r="Y72">
        <f t="shared" si="49"/>
        <v>3836.5000000000009</v>
      </c>
      <c r="Z72">
        <v>32.641500000000001</v>
      </c>
      <c r="AA72">
        <f t="shared" si="50"/>
        <v>3.6646000000000001</v>
      </c>
      <c r="AB72">
        <f t="shared" si="43"/>
        <v>3664.6</v>
      </c>
      <c r="AC72">
        <f t="shared" si="51"/>
        <v>171.900000000001</v>
      </c>
      <c r="AD72">
        <v>1.0202627626905951</v>
      </c>
      <c r="AE72">
        <f t="shared" si="57"/>
        <v>0.41218615612700038</v>
      </c>
      <c r="AF72">
        <f t="shared" si="44"/>
        <v>4.480646422520552</v>
      </c>
      <c r="AG72">
        <f t="shared" si="52"/>
        <v>4.0130327121073988</v>
      </c>
      <c r="AH72">
        <f t="shared" si="53"/>
        <v>1.6541165280154597E-2</v>
      </c>
      <c r="AI72" s="2">
        <f t="shared" si="34"/>
        <v>0.82705826400772986</v>
      </c>
      <c r="AJ72">
        <v>25</v>
      </c>
      <c r="AK72">
        <f t="shared" si="56"/>
        <v>1.6541165280154597E-2</v>
      </c>
      <c r="AL72">
        <f t="shared" si="54"/>
        <v>6.6164661120618386E-4</v>
      </c>
    </row>
    <row r="73" spans="1:39" x14ac:dyDescent="0.2">
      <c r="A73" t="s">
        <v>44</v>
      </c>
      <c r="B73">
        <v>2023</v>
      </c>
      <c r="C73">
        <f t="shared" si="35"/>
        <v>2</v>
      </c>
      <c r="D73">
        <v>3</v>
      </c>
      <c r="E73">
        <v>3</v>
      </c>
      <c r="F73" t="s">
        <v>39</v>
      </c>
      <c r="G73">
        <v>25</v>
      </c>
      <c r="H73">
        <v>19</v>
      </c>
      <c r="I73">
        <f t="shared" si="45"/>
        <v>0.76</v>
      </c>
      <c r="K73">
        <v>4</v>
      </c>
      <c r="M73">
        <v>30</v>
      </c>
      <c r="N73">
        <v>1.851</v>
      </c>
      <c r="O73">
        <v>33.716999999999999</v>
      </c>
      <c r="P73">
        <f t="shared" si="41"/>
        <v>31.866</v>
      </c>
      <c r="Q73">
        <v>26.134</v>
      </c>
      <c r="R73">
        <f t="shared" si="42"/>
        <v>24.283000000000001</v>
      </c>
      <c r="S73">
        <f t="shared" si="46"/>
        <v>7.5829999999999984</v>
      </c>
      <c r="T73">
        <f t="shared" si="47"/>
        <v>23.796522939810451</v>
      </c>
      <c r="U73">
        <v>7</v>
      </c>
      <c r="V73">
        <v>27.2575</v>
      </c>
      <c r="W73">
        <v>30.534199999999998</v>
      </c>
      <c r="X73">
        <f t="shared" si="48"/>
        <v>3.2766999999999982</v>
      </c>
      <c r="Y73">
        <f t="shared" si="49"/>
        <v>3276.699999999998</v>
      </c>
      <c r="Z73">
        <v>30.399000000000001</v>
      </c>
      <c r="AA73">
        <f t="shared" si="50"/>
        <v>3.1415000000000006</v>
      </c>
      <c r="AB73">
        <f t="shared" si="43"/>
        <v>3141.5000000000005</v>
      </c>
      <c r="AC73">
        <f t="shared" si="51"/>
        <v>135.19999999999754</v>
      </c>
      <c r="AD73">
        <v>0.75469284577388129</v>
      </c>
      <c r="AE73">
        <f t="shared" si="57"/>
        <v>0.57356656278814977</v>
      </c>
      <c r="AF73">
        <f t="shared" si="44"/>
        <v>4.1261024811547484</v>
      </c>
      <c r="AG73">
        <f t="shared" si="52"/>
        <v>3.8853968932157095</v>
      </c>
      <c r="AH73">
        <f t="shared" si="53"/>
        <v>2.2285337411094903E-2</v>
      </c>
      <c r="AI73" s="2">
        <f t="shared" si="34"/>
        <v>0.55713343527737258</v>
      </c>
      <c r="AJ73">
        <v>15</v>
      </c>
      <c r="AK73">
        <f t="shared" si="56"/>
        <v>2.2285337411094903E-2</v>
      </c>
      <c r="AL73">
        <f t="shared" si="54"/>
        <v>1.4856891607396602E-3</v>
      </c>
    </row>
    <row r="74" spans="1:39" x14ac:dyDescent="0.2">
      <c r="A74" t="s">
        <v>44</v>
      </c>
      <c r="B74">
        <v>2023</v>
      </c>
      <c r="C74">
        <f t="shared" si="35"/>
        <v>2</v>
      </c>
      <c r="D74">
        <v>3</v>
      </c>
      <c r="E74">
        <v>3</v>
      </c>
      <c r="F74" t="s">
        <v>40</v>
      </c>
      <c r="G74">
        <v>10</v>
      </c>
      <c r="H74">
        <v>10</v>
      </c>
      <c r="I74">
        <f t="shared" si="45"/>
        <v>1</v>
      </c>
      <c r="K74">
        <v>5.2</v>
      </c>
      <c r="M74">
        <v>31</v>
      </c>
      <c r="N74">
        <v>1.835</v>
      </c>
      <c r="O74">
        <v>36.220999999999997</v>
      </c>
      <c r="P74">
        <f t="shared" si="41"/>
        <v>34.385999999999996</v>
      </c>
      <c r="Q74">
        <v>28.172999999999998</v>
      </c>
      <c r="R74">
        <f t="shared" si="42"/>
        <v>26.337999999999997</v>
      </c>
      <c r="S74">
        <f t="shared" si="46"/>
        <v>8.0479999999999983</v>
      </c>
      <c r="T74">
        <f t="shared" si="47"/>
        <v>23.404874076659105</v>
      </c>
      <c r="U74">
        <v>13</v>
      </c>
      <c r="V74">
        <v>22.1968</v>
      </c>
      <c r="W74">
        <v>25.859100000000002</v>
      </c>
      <c r="X74">
        <f t="shared" si="48"/>
        <v>3.6623000000000019</v>
      </c>
      <c r="Y74">
        <f t="shared" si="49"/>
        <v>3662.300000000002</v>
      </c>
      <c r="Z74">
        <v>25.706399999999999</v>
      </c>
      <c r="AA74">
        <f t="shared" si="50"/>
        <v>3.5095999999999989</v>
      </c>
      <c r="AB74">
        <f t="shared" si="43"/>
        <v>3509.599999999999</v>
      </c>
      <c r="AC74">
        <f t="shared" si="51"/>
        <v>152.700000000003</v>
      </c>
      <c r="AD74">
        <v>0.94418669989266912</v>
      </c>
      <c r="AE74">
        <f t="shared" si="57"/>
        <v>0.94418669989266912</v>
      </c>
      <c r="AF74">
        <f t="shared" si="44"/>
        <v>4.1695109630560827</v>
      </c>
      <c r="AG74">
        <f t="shared" si="52"/>
        <v>3.9010239467001897</v>
      </c>
      <c r="AH74">
        <f t="shared" si="53"/>
        <v>3.6832949264371279E-2</v>
      </c>
      <c r="AI74" s="2">
        <f t="shared" si="34"/>
        <v>0.36832949264371279</v>
      </c>
      <c r="AJ74">
        <v>10</v>
      </c>
      <c r="AK74">
        <f t="shared" si="56"/>
        <v>3.6832949264371279E-2</v>
      </c>
      <c r="AL74">
        <f t="shared" si="54"/>
        <v>3.6832949264371277E-3</v>
      </c>
    </row>
    <row r="75" spans="1:39" x14ac:dyDescent="0.2">
      <c r="A75" t="s">
        <v>44</v>
      </c>
      <c r="B75">
        <v>2023</v>
      </c>
      <c r="C75">
        <f t="shared" si="35"/>
        <v>2</v>
      </c>
      <c r="D75">
        <v>4</v>
      </c>
      <c r="E75">
        <v>1</v>
      </c>
      <c r="F75" t="s">
        <v>41</v>
      </c>
      <c r="G75">
        <v>50</v>
      </c>
      <c r="H75">
        <v>23.5</v>
      </c>
      <c r="I75">
        <f t="shared" si="45"/>
        <v>0.47</v>
      </c>
      <c r="K75">
        <v>4</v>
      </c>
      <c r="M75">
        <v>32</v>
      </c>
      <c r="N75">
        <v>1.855</v>
      </c>
      <c r="O75">
        <v>32.082000000000001</v>
      </c>
      <c r="P75">
        <f t="shared" si="41"/>
        <v>30.227</v>
      </c>
      <c r="Q75">
        <v>23.902000000000001</v>
      </c>
      <c r="R75">
        <f t="shared" si="42"/>
        <v>22.047000000000001</v>
      </c>
      <c r="S75">
        <f t="shared" si="46"/>
        <v>8.18</v>
      </c>
      <c r="T75">
        <f t="shared" si="47"/>
        <v>27.061898302841829</v>
      </c>
      <c r="U75">
        <v>2</v>
      </c>
      <c r="V75">
        <v>26.6463</v>
      </c>
      <c r="W75">
        <v>29.828900000000001</v>
      </c>
      <c r="X75">
        <f t="shared" si="48"/>
        <v>3.1826000000000008</v>
      </c>
      <c r="Y75">
        <f t="shared" si="49"/>
        <v>3182.6000000000008</v>
      </c>
      <c r="Z75">
        <v>29.690899999999999</v>
      </c>
      <c r="AA75">
        <f t="shared" si="50"/>
        <v>3.0445999999999991</v>
      </c>
      <c r="AB75">
        <f t="shared" si="43"/>
        <v>3044.599999999999</v>
      </c>
      <c r="AC75">
        <f t="shared" si="51"/>
        <v>138.00000000000182</v>
      </c>
      <c r="AD75">
        <v>1.0202627626905951</v>
      </c>
      <c r="AE75">
        <f t="shared" si="57"/>
        <v>0.4795234984645797</v>
      </c>
      <c r="AF75">
        <f t="shared" si="44"/>
        <v>4.3360774209766157</v>
      </c>
      <c r="AG75">
        <f t="shared" si="52"/>
        <v>3.9609878715515814</v>
      </c>
      <c r="AH75">
        <f t="shared" si="53"/>
        <v>1.8993867615421836E-2</v>
      </c>
      <c r="AI75" s="2">
        <f t="shared" si="34"/>
        <v>0.94969338077109178</v>
      </c>
      <c r="AJ75">
        <v>25</v>
      </c>
      <c r="AK75">
        <f t="shared" si="56"/>
        <v>1.8993867615421836E-2</v>
      </c>
      <c r="AL75">
        <f t="shared" si="54"/>
        <v>7.5975470461687349E-4</v>
      </c>
    </row>
    <row r="76" spans="1:39" x14ac:dyDescent="0.2">
      <c r="A76" t="s">
        <v>44</v>
      </c>
      <c r="B76">
        <v>2023</v>
      </c>
      <c r="C76">
        <f t="shared" si="35"/>
        <v>2</v>
      </c>
      <c r="D76">
        <v>4</v>
      </c>
      <c r="E76">
        <v>1</v>
      </c>
      <c r="F76" t="s">
        <v>39</v>
      </c>
      <c r="G76">
        <v>25</v>
      </c>
      <c r="H76">
        <v>14</v>
      </c>
      <c r="I76">
        <f t="shared" si="45"/>
        <v>0.56000000000000005</v>
      </c>
      <c r="K76">
        <v>4</v>
      </c>
      <c r="M76">
        <v>33</v>
      </c>
      <c r="N76">
        <v>1.82</v>
      </c>
      <c r="O76">
        <v>35.091999999999999</v>
      </c>
      <c r="P76">
        <f t="shared" si="41"/>
        <v>33.271999999999998</v>
      </c>
      <c r="Q76">
        <v>25.937999999999999</v>
      </c>
      <c r="R76">
        <f t="shared" si="42"/>
        <v>24.117999999999999</v>
      </c>
      <c r="S76">
        <f t="shared" si="46"/>
        <v>9.1539999999999999</v>
      </c>
      <c r="T76">
        <f t="shared" si="47"/>
        <v>27.512623226737198</v>
      </c>
      <c r="U76">
        <v>21</v>
      </c>
      <c r="V76">
        <v>31.08</v>
      </c>
      <c r="W76">
        <v>33.904600000000002</v>
      </c>
      <c r="X76">
        <f t="shared" si="48"/>
        <v>2.8246000000000038</v>
      </c>
      <c r="Y76">
        <f t="shared" si="49"/>
        <v>2824.600000000004</v>
      </c>
      <c r="Z76">
        <v>33.773000000000003</v>
      </c>
      <c r="AA76">
        <f t="shared" si="50"/>
        <v>2.6930000000000049</v>
      </c>
      <c r="AB76">
        <f t="shared" si="43"/>
        <v>2693.000000000005</v>
      </c>
      <c r="AC76">
        <f t="shared" si="51"/>
        <v>131.599999999999</v>
      </c>
      <c r="AD76">
        <v>0.75469284577388129</v>
      </c>
      <c r="AE76">
        <f t="shared" si="57"/>
        <v>0.42262799363337356</v>
      </c>
      <c r="AF76">
        <f t="shared" si="44"/>
        <v>4.6590667705161373</v>
      </c>
      <c r="AG76">
        <f t="shared" si="52"/>
        <v>4.0772640373858096</v>
      </c>
      <c r="AH76">
        <f t="shared" si="53"/>
        <v>1.723165919633873E-2</v>
      </c>
      <c r="AI76" s="2">
        <f t="shared" si="34"/>
        <v>0.43079147990846822</v>
      </c>
      <c r="AJ76">
        <v>15</v>
      </c>
      <c r="AK76">
        <f t="shared" si="56"/>
        <v>1.723165919633873E-2</v>
      </c>
      <c r="AL76">
        <f t="shared" si="54"/>
        <v>1.1487772797559154E-3</v>
      </c>
    </row>
    <row r="77" spans="1:39" x14ac:dyDescent="0.2">
      <c r="A77" t="s">
        <v>44</v>
      </c>
      <c r="B77">
        <v>2023</v>
      </c>
      <c r="C77">
        <f t="shared" si="35"/>
        <v>2</v>
      </c>
      <c r="D77">
        <v>4</v>
      </c>
      <c r="E77">
        <v>1</v>
      </c>
      <c r="F77" t="s">
        <v>40</v>
      </c>
      <c r="G77">
        <v>10</v>
      </c>
      <c r="H77">
        <v>9.5</v>
      </c>
      <c r="I77">
        <f t="shared" si="45"/>
        <v>0.95</v>
      </c>
      <c r="K77">
        <v>4</v>
      </c>
      <c r="M77">
        <v>34</v>
      </c>
      <c r="N77">
        <v>1.841</v>
      </c>
      <c r="O77">
        <v>30.939</v>
      </c>
      <c r="P77">
        <f t="shared" si="41"/>
        <v>29.097999999999999</v>
      </c>
      <c r="Q77">
        <v>22.206</v>
      </c>
      <c r="R77">
        <f t="shared" si="42"/>
        <v>20.364999999999998</v>
      </c>
      <c r="S77">
        <f t="shared" si="46"/>
        <v>8.7330000000000005</v>
      </c>
      <c r="T77">
        <f t="shared" si="47"/>
        <v>30.012371984328823</v>
      </c>
      <c r="U77">
        <v>19</v>
      </c>
      <c r="V77">
        <v>28.572099999999999</v>
      </c>
      <c r="W77">
        <v>31.862200000000001</v>
      </c>
      <c r="X77">
        <f t="shared" si="48"/>
        <v>3.2901000000000025</v>
      </c>
      <c r="Y77">
        <f t="shared" si="49"/>
        <v>3290.1000000000026</v>
      </c>
      <c r="Z77">
        <v>31.681899999999999</v>
      </c>
      <c r="AA77">
        <f t="shared" si="50"/>
        <v>3.1097999999999999</v>
      </c>
      <c r="AB77">
        <f t="shared" si="43"/>
        <v>3109.7999999999997</v>
      </c>
      <c r="AC77">
        <f t="shared" si="51"/>
        <v>180.30000000000291</v>
      </c>
      <c r="AD77">
        <v>0.94418669989266912</v>
      </c>
      <c r="AE77">
        <f t="shared" si="57"/>
        <v>0.89697736489803559</v>
      </c>
      <c r="AF77">
        <f t="shared" si="44"/>
        <v>5.4800765934166975</v>
      </c>
      <c r="AG77">
        <f t="shared" si="52"/>
        <v>4.3728275736300111</v>
      </c>
      <c r="AH77">
        <f t="shared" si="53"/>
        <v>3.9223273541481175E-2</v>
      </c>
      <c r="AI77" s="2">
        <f t="shared" si="34"/>
        <v>0.39223273541481174</v>
      </c>
      <c r="AJ77">
        <v>10</v>
      </c>
      <c r="AK77">
        <f t="shared" si="56"/>
        <v>3.9223273541481175E-2</v>
      </c>
      <c r="AL77">
        <f t="shared" si="54"/>
        <v>3.9223273541481177E-3</v>
      </c>
    </row>
    <row r="78" spans="1:39" x14ac:dyDescent="0.2">
      <c r="A78" t="s">
        <v>44</v>
      </c>
      <c r="B78">
        <v>2023</v>
      </c>
      <c r="C78">
        <f t="shared" si="35"/>
        <v>2</v>
      </c>
      <c r="D78">
        <v>4</v>
      </c>
      <c r="E78">
        <v>2</v>
      </c>
      <c r="F78" t="s">
        <v>41</v>
      </c>
      <c r="G78">
        <v>50</v>
      </c>
      <c r="H78">
        <v>19</v>
      </c>
      <c r="I78">
        <f t="shared" si="45"/>
        <v>0.38</v>
      </c>
      <c r="K78">
        <v>4</v>
      </c>
      <c r="M78">
        <v>4</v>
      </c>
      <c r="N78">
        <v>1.85</v>
      </c>
      <c r="O78">
        <v>37.363999999999997</v>
      </c>
      <c r="P78">
        <f t="shared" si="41"/>
        <v>35.513999999999996</v>
      </c>
      <c r="Q78">
        <v>28.161999999999999</v>
      </c>
      <c r="R78">
        <f t="shared" si="42"/>
        <v>26.311999999999998</v>
      </c>
      <c r="S78">
        <f t="shared" si="46"/>
        <v>9.2019999999999982</v>
      </c>
      <c r="T78">
        <f t="shared" si="47"/>
        <v>25.9109083741623</v>
      </c>
      <c r="U78">
        <v>4</v>
      </c>
      <c r="V78">
        <v>27.7805</v>
      </c>
      <c r="W78">
        <v>31.3993</v>
      </c>
      <c r="X78">
        <f t="shared" si="48"/>
        <v>3.6188000000000002</v>
      </c>
      <c r="Y78">
        <f t="shared" si="49"/>
        <v>3618.8</v>
      </c>
      <c r="Z78">
        <v>31.238</v>
      </c>
      <c r="AA78">
        <f t="shared" si="50"/>
        <v>3.4574999999999996</v>
      </c>
      <c r="AB78">
        <f t="shared" si="43"/>
        <v>3457.4999999999995</v>
      </c>
      <c r="AC78">
        <f t="shared" si="51"/>
        <v>161.30000000000064</v>
      </c>
      <c r="AD78">
        <v>1.0202627626905951</v>
      </c>
      <c r="AE78">
        <f t="shared" si="57"/>
        <v>0.38769984982242617</v>
      </c>
      <c r="AF78">
        <f t="shared" si="44"/>
        <v>4.4572786559080537</v>
      </c>
      <c r="AG78">
        <f t="shared" si="52"/>
        <v>4.0046203161268989</v>
      </c>
      <c r="AH78">
        <f t="shared" si="53"/>
        <v>1.5525906951582354E-2</v>
      </c>
      <c r="AI78" s="2">
        <f t="shared" si="34"/>
        <v>0.77629534757911767</v>
      </c>
      <c r="AJ78">
        <v>25</v>
      </c>
      <c r="AK78">
        <f t="shared" si="56"/>
        <v>1.5525906951582354E-2</v>
      </c>
      <c r="AL78">
        <f t="shared" si="54"/>
        <v>6.2103627806329412E-4</v>
      </c>
      <c r="AM78" t="s">
        <v>48</v>
      </c>
    </row>
    <row r="79" spans="1:39" x14ac:dyDescent="0.2">
      <c r="A79" t="s">
        <v>44</v>
      </c>
      <c r="B79">
        <v>2023</v>
      </c>
      <c r="C79">
        <f t="shared" si="35"/>
        <v>2</v>
      </c>
      <c r="D79">
        <v>4</v>
      </c>
      <c r="E79">
        <v>2</v>
      </c>
      <c r="F79" t="s">
        <v>39</v>
      </c>
      <c r="G79">
        <v>25</v>
      </c>
      <c r="H79">
        <v>17</v>
      </c>
      <c r="I79">
        <f t="shared" si="45"/>
        <v>0.68</v>
      </c>
      <c r="K79">
        <v>4</v>
      </c>
      <c r="L79">
        <v>25.632999999999999</v>
      </c>
      <c r="M79">
        <v>35</v>
      </c>
      <c r="N79">
        <v>1.827</v>
      </c>
      <c r="O79">
        <v>31.878</v>
      </c>
      <c r="P79">
        <f t="shared" si="41"/>
        <v>30.051000000000002</v>
      </c>
      <c r="Q79">
        <v>25.617000000000001</v>
      </c>
      <c r="R79">
        <f t="shared" si="42"/>
        <v>23.79</v>
      </c>
      <c r="S79">
        <f t="shared" si="46"/>
        <v>6.2610000000000028</v>
      </c>
      <c r="T79">
        <f t="shared" si="47"/>
        <v>20.83458121193971</v>
      </c>
      <c r="U79">
        <v>12</v>
      </c>
      <c r="V79">
        <v>29.422499999999999</v>
      </c>
      <c r="W79">
        <v>32.679400000000001</v>
      </c>
      <c r="X79">
        <f t="shared" si="48"/>
        <v>3.2569000000000017</v>
      </c>
      <c r="Y79">
        <f t="shared" si="49"/>
        <v>3256.9000000000015</v>
      </c>
      <c r="Z79">
        <v>32.562399999999997</v>
      </c>
      <c r="AA79">
        <f t="shared" si="50"/>
        <v>3.1398999999999972</v>
      </c>
      <c r="AB79">
        <f t="shared" si="43"/>
        <v>3139.8999999999974</v>
      </c>
      <c r="AC79">
        <f t="shared" si="51"/>
        <v>117.00000000000409</v>
      </c>
      <c r="AD79">
        <v>0.75469284577388129</v>
      </c>
      <c r="AE79">
        <f t="shared" si="57"/>
        <v>0.51319113512623926</v>
      </c>
      <c r="AF79">
        <f t="shared" si="44"/>
        <v>3.5923731155394405</v>
      </c>
      <c r="AG79">
        <f t="shared" si="52"/>
        <v>3.6932543215941984</v>
      </c>
      <c r="AH79">
        <f t="shared" si="53"/>
        <v>1.8953453776088154E-2</v>
      </c>
      <c r="AI79" s="2">
        <f t="shared" si="34"/>
        <v>0.47383634440220385</v>
      </c>
      <c r="AJ79">
        <v>15</v>
      </c>
      <c r="AK79">
        <f t="shared" si="56"/>
        <v>1.8953453776088154E-2</v>
      </c>
      <c r="AL79">
        <f t="shared" si="54"/>
        <v>1.2635635850725437E-3</v>
      </c>
    </row>
    <row r="80" spans="1:39" x14ac:dyDescent="0.2">
      <c r="A80" t="s">
        <v>44</v>
      </c>
      <c r="B80">
        <v>2023</v>
      </c>
      <c r="C80">
        <f t="shared" si="35"/>
        <v>2</v>
      </c>
      <c r="D80">
        <v>4</v>
      </c>
      <c r="E80">
        <v>2</v>
      </c>
      <c r="F80" t="s">
        <v>40</v>
      </c>
      <c r="G80">
        <v>10</v>
      </c>
      <c r="H80">
        <v>9.5</v>
      </c>
      <c r="I80">
        <f t="shared" si="45"/>
        <v>0.95</v>
      </c>
      <c r="K80">
        <v>5.2</v>
      </c>
      <c r="M80">
        <v>36</v>
      </c>
      <c r="N80">
        <v>1.8460000000000001</v>
      </c>
      <c r="O80">
        <v>32.040999999999997</v>
      </c>
      <c r="P80">
        <f t="shared" si="41"/>
        <v>30.194999999999997</v>
      </c>
      <c r="Q80">
        <v>25.934999999999999</v>
      </c>
      <c r="R80">
        <f t="shared" si="42"/>
        <v>24.088999999999999</v>
      </c>
      <c r="S80">
        <f t="shared" si="46"/>
        <v>6.1059999999999981</v>
      </c>
      <c r="T80">
        <f t="shared" si="47"/>
        <v>20.221891041563168</v>
      </c>
      <c r="U80">
        <v>8</v>
      </c>
      <c r="V80">
        <v>27.3459</v>
      </c>
      <c r="W80">
        <v>30.949200000000001</v>
      </c>
      <c r="X80">
        <f t="shared" si="48"/>
        <v>3.6033000000000008</v>
      </c>
      <c r="Y80">
        <f t="shared" si="49"/>
        <v>3603.3000000000006</v>
      </c>
      <c r="Z80">
        <v>30.819600000000001</v>
      </c>
      <c r="AA80">
        <f t="shared" si="50"/>
        <v>3.4737000000000009</v>
      </c>
      <c r="AB80">
        <f t="shared" si="43"/>
        <v>3473.7000000000007</v>
      </c>
      <c r="AC80">
        <f t="shared" si="51"/>
        <v>129.59999999999991</v>
      </c>
      <c r="AD80">
        <v>0.94418669989266912</v>
      </c>
      <c r="AE80">
        <f t="shared" si="57"/>
        <v>0.89697736489803559</v>
      </c>
      <c r="AF80">
        <f t="shared" si="44"/>
        <v>3.5967030222296201</v>
      </c>
      <c r="AG80">
        <f t="shared" si="52"/>
        <v>3.6948130880026628</v>
      </c>
      <c r="AH80">
        <f t="shared" si="53"/>
        <v>3.3141637074674025E-2</v>
      </c>
      <c r="AI80" s="2">
        <f t="shared" si="34"/>
        <v>0.33141637074674024</v>
      </c>
      <c r="AJ80">
        <v>10</v>
      </c>
      <c r="AK80">
        <f t="shared" si="56"/>
        <v>3.3141637074674025E-2</v>
      </c>
      <c r="AL80">
        <f t="shared" si="54"/>
        <v>3.3141637074674025E-3</v>
      </c>
    </row>
    <row r="81" spans="1:39" x14ac:dyDescent="0.2">
      <c r="A81" t="s">
        <v>44</v>
      </c>
      <c r="B81">
        <v>2023</v>
      </c>
      <c r="C81">
        <f t="shared" si="35"/>
        <v>2</v>
      </c>
      <c r="D81">
        <v>4</v>
      </c>
      <c r="E81">
        <v>3</v>
      </c>
      <c r="F81" t="s">
        <v>41</v>
      </c>
      <c r="G81">
        <v>50</v>
      </c>
      <c r="H81">
        <v>25.5</v>
      </c>
      <c r="I81">
        <f t="shared" si="45"/>
        <v>0.51</v>
      </c>
      <c r="K81">
        <v>4</v>
      </c>
      <c r="L81">
        <v>23.553000000000001</v>
      </c>
      <c r="M81">
        <v>37</v>
      </c>
      <c r="N81">
        <v>1.839</v>
      </c>
      <c r="O81">
        <v>31.936</v>
      </c>
      <c r="P81">
        <f t="shared" si="41"/>
        <v>30.097000000000001</v>
      </c>
      <c r="Q81">
        <v>23.542000000000002</v>
      </c>
      <c r="R81">
        <f t="shared" si="42"/>
        <v>21.703000000000003</v>
      </c>
      <c r="S81">
        <f t="shared" si="46"/>
        <v>8.3939999999999984</v>
      </c>
      <c r="T81">
        <f t="shared" si="47"/>
        <v>27.889822905937461</v>
      </c>
      <c r="U81">
        <v>5</v>
      </c>
      <c r="V81">
        <v>22.167000000000002</v>
      </c>
      <c r="W81">
        <v>24.884899999999998</v>
      </c>
      <c r="X81">
        <f t="shared" si="48"/>
        <v>2.7178999999999967</v>
      </c>
      <c r="Y81">
        <f t="shared" si="49"/>
        <v>2717.8999999999965</v>
      </c>
      <c r="Z81">
        <v>24.738700000000001</v>
      </c>
      <c r="AA81">
        <f t="shared" si="50"/>
        <v>2.5716999999999999</v>
      </c>
      <c r="AB81">
        <f t="shared" si="43"/>
        <v>2571.6999999999998</v>
      </c>
      <c r="AC81">
        <f t="shared" si="51"/>
        <v>146.19999999999663</v>
      </c>
      <c r="AD81">
        <v>1.0202627626905951</v>
      </c>
      <c r="AE81">
        <f t="shared" si="57"/>
        <v>0.5203340089722035</v>
      </c>
      <c r="AF81">
        <f t="shared" si="44"/>
        <v>5.3791530225540614</v>
      </c>
      <c r="AG81">
        <f t="shared" si="52"/>
        <v>4.3364950881194622</v>
      </c>
      <c r="AH81">
        <f t="shared" si="53"/>
        <v>2.2564258740894686E-2</v>
      </c>
      <c r="AI81" s="2">
        <f t="shared" si="34"/>
        <v>1.1282129370447342</v>
      </c>
      <c r="AJ81">
        <v>25</v>
      </c>
      <c r="AK81">
        <f t="shared" si="56"/>
        <v>2.2564258740894686E-2</v>
      </c>
      <c r="AL81">
        <f t="shared" si="54"/>
        <v>9.0257034963578744E-4</v>
      </c>
    </row>
    <row r="82" spans="1:39" x14ac:dyDescent="0.2">
      <c r="A82" t="s">
        <v>44</v>
      </c>
      <c r="B82">
        <v>2023</v>
      </c>
      <c r="C82">
        <f t="shared" si="35"/>
        <v>2</v>
      </c>
      <c r="D82">
        <v>4</v>
      </c>
      <c r="E82">
        <v>3</v>
      </c>
      <c r="F82" t="s">
        <v>39</v>
      </c>
      <c r="G82">
        <v>25</v>
      </c>
      <c r="H82">
        <v>17</v>
      </c>
      <c r="I82">
        <f t="shared" si="45"/>
        <v>0.68</v>
      </c>
      <c r="K82">
        <v>4</v>
      </c>
      <c r="M82">
        <v>38</v>
      </c>
      <c r="N82">
        <v>1.857</v>
      </c>
      <c r="O82">
        <v>34.177</v>
      </c>
      <c r="P82">
        <f t="shared" si="41"/>
        <v>32.32</v>
      </c>
      <c r="Q82">
        <v>26.033000000000001</v>
      </c>
      <c r="R82">
        <f t="shared" si="42"/>
        <v>24.176000000000002</v>
      </c>
      <c r="S82">
        <f t="shared" si="46"/>
        <v>8.1439999999999984</v>
      </c>
      <c r="T82">
        <f t="shared" si="47"/>
        <v>25.198019801980191</v>
      </c>
      <c r="U82">
        <v>1</v>
      </c>
      <c r="V82">
        <v>27.968399999999999</v>
      </c>
      <c r="W82">
        <v>31.917200000000001</v>
      </c>
      <c r="X82">
        <f t="shared" si="48"/>
        <v>3.9488000000000021</v>
      </c>
      <c r="Y82">
        <f t="shared" si="49"/>
        <v>3948.800000000002</v>
      </c>
      <c r="Z82">
        <v>31.743400000000001</v>
      </c>
      <c r="AA82">
        <f t="shared" si="50"/>
        <v>3.7750000000000021</v>
      </c>
      <c r="AB82">
        <f t="shared" si="43"/>
        <v>3775.0000000000023</v>
      </c>
      <c r="AC82">
        <f t="shared" si="51"/>
        <v>173.79999999999973</v>
      </c>
      <c r="AD82">
        <v>0.75469284577388129</v>
      </c>
      <c r="AE82">
        <f t="shared" si="57"/>
        <v>0.51319113512623926</v>
      </c>
      <c r="AF82">
        <f t="shared" si="44"/>
        <v>4.4013371150729244</v>
      </c>
      <c r="AG82">
        <f t="shared" si="52"/>
        <v>3.9844813614262526</v>
      </c>
      <c r="AH82">
        <f t="shared" si="53"/>
        <v>2.044800512759682E-2</v>
      </c>
      <c r="AI82" s="2">
        <f t="shared" si="34"/>
        <v>0.51120012818992056</v>
      </c>
      <c r="AJ82">
        <v>15</v>
      </c>
      <c r="AK82">
        <f t="shared" si="56"/>
        <v>2.044800512759682E-2</v>
      </c>
      <c r="AL82">
        <f t="shared" si="54"/>
        <v>1.363200341839788E-3</v>
      </c>
    </row>
    <row r="83" spans="1:39" x14ac:dyDescent="0.2">
      <c r="A83" t="s">
        <v>44</v>
      </c>
      <c r="B83">
        <v>2023</v>
      </c>
      <c r="C83">
        <f t="shared" si="35"/>
        <v>2</v>
      </c>
      <c r="D83">
        <v>4</v>
      </c>
      <c r="E83">
        <v>3</v>
      </c>
      <c r="F83" t="s">
        <v>40</v>
      </c>
      <c r="G83">
        <v>10</v>
      </c>
      <c r="H83">
        <v>7</v>
      </c>
      <c r="I83">
        <f t="shared" si="45"/>
        <v>0.7</v>
      </c>
      <c r="K83">
        <v>5.2</v>
      </c>
      <c r="L83">
        <v>23.466999999999999</v>
      </c>
      <c r="M83">
        <v>39</v>
      </c>
      <c r="N83">
        <v>1.8360000000000001</v>
      </c>
      <c r="O83">
        <v>34.142000000000003</v>
      </c>
      <c r="P83">
        <f t="shared" si="41"/>
        <v>32.306000000000004</v>
      </c>
      <c r="Q83">
        <v>25.94</v>
      </c>
      <c r="R83">
        <f t="shared" si="42"/>
        <v>24.104000000000003</v>
      </c>
      <c r="S83">
        <f t="shared" si="46"/>
        <v>8.2020000000000017</v>
      </c>
      <c r="T83">
        <f t="shared" si="47"/>
        <v>25.388472729523929</v>
      </c>
      <c r="U83">
        <v>9</v>
      </c>
      <c r="V83">
        <v>30.430700000000002</v>
      </c>
      <c r="W83">
        <v>33.158200000000001</v>
      </c>
      <c r="X83">
        <f t="shared" si="48"/>
        <v>2.7274999999999991</v>
      </c>
      <c r="Y83">
        <f t="shared" si="49"/>
        <v>2727.4999999999991</v>
      </c>
      <c r="Z83">
        <v>32.988399999999999</v>
      </c>
      <c r="AA83">
        <f t="shared" si="50"/>
        <v>2.557699999999997</v>
      </c>
      <c r="AB83">
        <f t="shared" si="43"/>
        <v>2557.6999999999971</v>
      </c>
      <c r="AC83">
        <f t="shared" si="51"/>
        <v>169.800000000002</v>
      </c>
      <c r="AD83">
        <v>0.94418669989266912</v>
      </c>
      <c r="AE83">
        <f t="shared" si="57"/>
        <v>0.66093068992486836</v>
      </c>
      <c r="AF83">
        <f t="shared" si="44"/>
        <v>6.2254812098992511</v>
      </c>
      <c r="AG83">
        <f t="shared" si="52"/>
        <v>4.6411732355637305</v>
      </c>
      <c r="AH83">
        <f t="shared" si="53"/>
        <v>3.0674938286419703E-2</v>
      </c>
      <c r="AI83" s="2">
        <f t="shared" si="34"/>
        <v>0.30674938286419701</v>
      </c>
      <c r="AJ83">
        <v>10</v>
      </c>
      <c r="AK83">
        <f t="shared" si="56"/>
        <v>3.0674938286419703E-2</v>
      </c>
      <c r="AL83">
        <f t="shared" si="54"/>
        <v>3.0674938286419703E-3</v>
      </c>
    </row>
    <row r="84" spans="1:39" x14ac:dyDescent="0.2">
      <c r="A84" t="s">
        <v>49</v>
      </c>
      <c r="B84">
        <v>2021</v>
      </c>
      <c r="C84">
        <f>2025-B84</f>
        <v>4</v>
      </c>
      <c r="D84">
        <v>1</v>
      </c>
      <c r="E84">
        <v>1</v>
      </c>
      <c r="F84" t="s">
        <v>38</v>
      </c>
      <c r="G84">
        <v>50</v>
      </c>
      <c r="H84">
        <v>21.5</v>
      </c>
      <c r="I84">
        <f t="shared" si="45"/>
        <v>0.43</v>
      </c>
      <c r="K84">
        <v>4</v>
      </c>
      <c r="M84">
        <v>49</v>
      </c>
      <c r="N84">
        <v>1.855</v>
      </c>
      <c r="O84">
        <v>34.601999999999997</v>
      </c>
      <c r="P84">
        <f t="shared" si="41"/>
        <v>32.747</v>
      </c>
      <c r="Q84">
        <v>21.829000000000001</v>
      </c>
      <c r="R84">
        <f t="shared" si="42"/>
        <v>19.974</v>
      </c>
      <c r="S84">
        <f>P84-R84</f>
        <v>12.773</v>
      </c>
      <c r="T84" s="4">
        <f>((P84-R84)/P84)*100</f>
        <v>39.005099703789661</v>
      </c>
      <c r="U84">
        <v>2</v>
      </c>
      <c r="V84">
        <v>26.6462</v>
      </c>
      <c r="W84">
        <v>29.134499999999999</v>
      </c>
      <c r="X84">
        <f>W84-V84</f>
        <v>2.4882999999999988</v>
      </c>
      <c r="Y84">
        <f>X84*1000</f>
        <v>2488.2999999999988</v>
      </c>
      <c r="Z84">
        <v>28.999700000000001</v>
      </c>
      <c r="AA84">
        <f>Z84-V84</f>
        <v>2.3535000000000004</v>
      </c>
      <c r="AB84">
        <f t="shared" si="43"/>
        <v>2353.5000000000005</v>
      </c>
      <c r="AC84">
        <f>Y84-AB84</f>
        <v>134.79999999999836</v>
      </c>
      <c r="AD84">
        <v>0.91301222541454419</v>
      </c>
      <c r="AE84">
        <f t="shared" si="57"/>
        <v>0.39259525692825398</v>
      </c>
      <c r="AF84">
        <f t="shared" si="44"/>
        <v>5.4173532130369502</v>
      </c>
      <c r="AG84">
        <f>0.36*AF84+2.4</f>
        <v>4.3502471566933014</v>
      </c>
      <c r="AH84">
        <f>AE84*(AG84/100)</f>
        <v>1.7078864001834129E-2</v>
      </c>
      <c r="AI84" s="2">
        <f t="shared" si="34"/>
        <v>0.85394320009170643</v>
      </c>
      <c r="AJ84">
        <v>25</v>
      </c>
      <c r="AK84">
        <f>AI84-(AK85+AK86)</f>
        <v>-8.0154433517207968E-2</v>
      </c>
      <c r="AL84">
        <f>AK84/AJ84</f>
        <v>-3.2061773406883189E-3</v>
      </c>
    </row>
    <row r="85" spans="1:39" x14ac:dyDescent="0.2">
      <c r="A85" t="s">
        <v>49</v>
      </c>
      <c r="B85">
        <v>2021</v>
      </c>
      <c r="C85">
        <f t="shared" ref="C85:C101" si="58">2025-B85</f>
        <v>4</v>
      </c>
      <c r="D85">
        <v>1</v>
      </c>
      <c r="E85">
        <v>1</v>
      </c>
      <c r="F85" t="s">
        <v>39</v>
      </c>
      <c r="G85">
        <v>25</v>
      </c>
      <c r="H85">
        <v>18</v>
      </c>
      <c r="I85">
        <f t="shared" si="45"/>
        <v>0.72</v>
      </c>
      <c r="K85">
        <v>4</v>
      </c>
      <c r="M85">
        <v>50</v>
      </c>
      <c r="N85">
        <v>1.915</v>
      </c>
      <c r="O85">
        <v>31.771999999999998</v>
      </c>
      <c r="P85">
        <f t="shared" si="41"/>
        <v>29.856999999999999</v>
      </c>
      <c r="Q85">
        <v>19.084</v>
      </c>
      <c r="R85">
        <f t="shared" si="42"/>
        <v>17.169</v>
      </c>
      <c r="S85">
        <f t="shared" ref="S85:S101" si="59">P85-R85</f>
        <v>12.687999999999999</v>
      </c>
      <c r="T85" s="4">
        <f t="shared" ref="T85:T101" si="60">((P85-R85)/P85)*100</f>
        <v>42.49589710955555</v>
      </c>
      <c r="U85">
        <v>7</v>
      </c>
      <c r="V85">
        <v>27.354099999999999</v>
      </c>
      <c r="W85">
        <v>29.940999999999999</v>
      </c>
      <c r="X85">
        <f t="shared" ref="X85:X101" si="61">W85-V85</f>
        <v>2.5869</v>
      </c>
      <c r="Y85">
        <f t="shared" ref="Y85:Y101" si="62">X85*1000</f>
        <v>2586.9</v>
      </c>
      <c r="Z85">
        <v>29.729900000000001</v>
      </c>
      <c r="AA85">
        <f t="shared" ref="AA85:AA101" si="63">Z85-V85</f>
        <v>2.3758000000000017</v>
      </c>
      <c r="AB85">
        <f t="shared" si="43"/>
        <v>2375.8000000000015</v>
      </c>
      <c r="AC85">
        <f t="shared" ref="AC85:AC101" si="64">Y85-AB85</f>
        <v>211.09999999999854</v>
      </c>
      <c r="AD85">
        <v>0.97221786424472922</v>
      </c>
      <c r="AE85">
        <f t="shared" si="57"/>
        <v>0.69999686225620505</v>
      </c>
      <c r="AF85">
        <f t="shared" si="44"/>
        <v>8.1603463605086599</v>
      </c>
      <c r="AG85">
        <f t="shared" ref="AG85:AG101" si="65">0.36*AF85+2.4</f>
        <v>5.3377246897831174</v>
      </c>
      <c r="AH85">
        <f t="shared" ref="AH85:AH101" si="66">AE85*(AG85/100)</f>
        <v>3.7363905344356574E-2</v>
      </c>
      <c r="AI85" s="2">
        <f t="shared" si="34"/>
        <v>0.9340976336089144</v>
      </c>
      <c r="AJ85">
        <v>15</v>
      </c>
      <c r="AK85">
        <f>AI85-AI86</f>
        <v>0.67755573245955814</v>
      </c>
      <c r="AL85">
        <f t="shared" ref="AL85:AL101" si="67">AK85/AJ85</f>
        <v>4.5170382163970541E-2</v>
      </c>
    </row>
    <row r="86" spans="1:39" x14ac:dyDescent="0.2">
      <c r="A86" t="s">
        <v>49</v>
      </c>
      <c r="B86">
        <v>2021</v>
      </c>
      <c r="C86">
        <f t="shared" si="58"/>
        <v>4</v>
      </c>
      <c r="D86">
        <v>1</v>
      </c>
      <c r="E86">
        <v>1</v>
      </c>
      <c r="F86" t="s">
        <v>40</v>
      </c>
      <c r="G86">
        <v>10</v>
      </c>
      <c r="H86">
        <v>5.5</v>
      </c>
      <c r="I86">
        <f t="shared" si="45"/>
        <v>0.55000000000000004</v>
      </c>
      <c r="K86">
        <v>4</v>
      </c>
      <c r="M86">
        <v>51</v>
      </c>
      <c r="N86">
        <v>1.905</v>
      </c>
      <c r="O86">
        <v>30.744</v>
      </c>
      <c r="P86">
        <f t="shared" si="41"/>
        <v>28.838999999999999</v>
      </c>
      <c r="Q86">
        <v>19.95</v>
      </c>
      <c r="R86">
        <f t="shared" si="42"/>
        <v>18.044999999999998</v>
      </c>
      <c r="S86">
        <f t="shared" si="59"/>
        <v>10.794</v>
      </c>
      <c r="T86" s="4">
        <f t="shared" si="60"/>
        <v>37.428482263601374</v>
      </c>
      <c r="U86">
        <v>19</v>
      </c>
      <c r="V86">
        <v>28.572199999999999</v>
      </c>
      <c r="W86">
        <v>31.6721</v>
      </c>
      <c r="X86">
        <f t="shared" si="61"/>
        <v>3.0999000000000017</v>
      </c>
      <c r="Y86">
        <f t="shared" si="62"/>
        <v>3099.9000000000015</v>
      </c>
      <c r="Z86">
        <v>31.480699999999999</v>
      </c>
      <c r="AA86">
        <f t="shared" si="63"/>
        <v>2.9085000000000001</v>
      </c>
      <c r="AB86">
        <f t="shared" si="43"/>
        <v>2908.5</v>
      </c>
      <c r="AC86">
        <f t="shared" si="64"/>
        <v>191.40000000000146</v>
      </c>
      <c r="AD86">
        <v>1.0090025504668434</v>
      </c>
      <c r="AE86">
        <f t="shared" si="57"/>
        <v>0.55495140275676391</v>
      </c>
      <c r="AF86">
        <f t="shared" si="44"/>
        <v>6.1743927223459263</v>
      </c>
      <c r="AG86">
        <f t="shared" si="65"/>
        <v>4.6227813800445334</v>
      </c>
      <c r="AH86">
        <f t="shared" si="66"/>
        <v>2.5654190114935627E-2</v>
      </c>
      <c r="AI86" s="2">
        <f t="shared" si="34"/>
        <v>0.25654190114935627</v>
      </c>
      <c r="AJ86">
        <v>10</v>
      </c>
      <c r="AK86">
        <f>AI86</f>
        <v>0.25654190114935627</v>
      </c>
      <c r="AL86">
        <f t="shared" si="67"/>
        <v>2.5654190114935627E-2</v>
      </c>
    </row>
    <row r="87" spans="1:39" x14ac:dyDescent="0.2">
      <c r="A87" t="s">
        <v>49</v>
      </c>
      <c r="B87">
        <v>2021</v>
      </c>
      <c r="C87">
        <f t="shared" si="58"/>
        <v>4</v>
      </c>
      <c r="D87">
        <v>1</v>
      </c>
      <c r="E87">
        <v>2</v>
      </c>
      <c r="F87" s="3" t="s">
        <v>41</v>
      </c>
      <c r="G87">
        <v>50</v>
      </c>
      <c r="H87">
        <v>16</v>
      </c>
      <c r="I87">
        <f t="shared" si="45"/>
        <v>0.32</v>
      </c>
      <c r="K87">
        <v>4</v>
      </c>
      <c r="M87">
        <v>52</v>
      </c>
      <c r="N87">
        <v>1.887</v>
      </c>
      <c r="O87">
        <v>35.707999999999998</v>
      </c>
      <c r="P87">
        <f t="shared" si="41"/>
        <v>33.820999999999998</v>
      </c>
      <c r="Q87">
        <v>18.652999999999999</v>
      </c>
      <c r="R87">
        <f t="shared" si="42"/>
        <v>16.765999999999998</v>
      </c>
      <c r="S87">
        <f t="shared" si="59"/>
        <v>17.055</v>
      </c>
      <c r="T87" s="4">
        <f t="shared" si="60"/>
        <v>50.427249342124711</v>
      </c>
      <c r="U87">
        <v>20</v>
      </c>
      <c r="V87">
        <v>28.529900000000001</v>
      </c>
      <c r="W87">
        <v>30.9969</v>
      </c>
      <c r="X87">
        <f t="shared" si="61"/>
        <v>2.4669999999999987</v>
      </c>
      <c r="Y87">
        <f t="shared" si="62"/>
        <v>2466.9999999999986</v>
      </c>
      <c r="Z87">
        <v>30.797000000000001</v>
      </c>
      <c r="AA87">
        <f t="shared" si="63"/>
        <v>2.2670999999999992</v>
      </c>
      <c r="AB87">
        <f t="shared" si="43"/>
        <v>2267.0999999999995</v>
      </c>
      <c r="AC87">
        <f t="shared" si="64"/>
        <v>199.89999999999918</v>
      </c>
      <c r="AD87">
        <v>0.91301222541454419</v>
      </c>
      <c r="AE87">
        <f t="shared" si="57"/>
        <v>0.29216391213265414</v>
      </c>
      <c r="AF87">
        <f t="shared" si="44"/>
        <v>8.1029590595865137</v>
      </c>
      <c r="AG87">
        <f t="shared" si="65"/>
        <v>5.3170652614511447</v>
      </c>
      <c r="AH87">
        <f t="shared" si="66"/>
        <v>1.5534545878501999E-2</v>
      </c>
      <c r="AI87" s="2">
        <f t="shared" si="34"/>
        <v>0.77672729392509998</v>
      </c>
      <c r="AJ87">
        <v>25</v>
      </c>
      <c r="AK87">
        <f>AI87-(AK88+AK89)</f>
        <v>0.12375113857685727</v>
      </c>
      <c r="AL87">
        <f t="shared" si="67"/>
        <v>4.9500455430742905E-3</v>
      </c>
    </row>
    <row r="88" spans="1:39" x14ac:dyDescent="0.2">
      <c r="A88" t="s">
        <v>49</v>
      </c>
      <c r="B88">
        <v>2021</v>
      </c>
      <c r="C88">
        <f t="shared" si="58"/>
        <v>4</v>
      </c>
      <c r="D88">
        <v>1</v>
      </c>
      <c r="E88">
        <v>2</v>
      </c>
      <c r="F88" t="s">
        <v>39</v>
      </c>
      <c r="G88">
        <v>25</v>
      </c>
      <c r="H88">
        <v>13</v>
      </c>
      <c r="I88">
        <f t="shared" si="45"/>
        <v>0.52</v>
      </c>
      <c r="K88">
        <v>4</v>
      </c>
      <c r="M88">
        <v>53</v>
      </c>
      <c r="N88">
        <v>1.887</v>
      </c>
      <c r="O88">
        <v>36.011000000000003</v>
      </c>
      <c r="P88">
        <f t="shared" si="41"/>
        <v>34.124000000000002</v>
      </c>
      <c r="Q88">
        <v>20.709</v>
      </c>
      <c r="R88">
        <f t="shared" si="42"/>
        <v>18.821999999999999</v>
      </c>
      <c r="S88">
        <f t="shared" si="59"/>
        <v>15.302000000000003</v>
      </c>
      <c r="T88" s="4">
        <f t="shared" si="60"/>
        <v>44.842339702262343</v>
      </c>
      <c r="U88">
        <v>12</v>
      </c>
      <c r="V88">
        <v>29.421700000000001</v>
      </c>
      <c r="W88">
        <v>31.990500000000001</v>
      </c>
      <c r="X88">
        <f t="shared" si="61"/>
        <v>2.5687999999999995</v>
      </c>
      <c r="Y88">
        <f t="shared" si="62"/>
        <v>2568.7999999999997</v>
      </c>
      <c r="Z88">
        <v>31.793099999999999</v>
      </c>
      <c r="AA88">
        <f t="shared" si="63"/>
        <v>2.3713999999999977</v>
      </c>
      <c r="AB88">
        <f t="shared" si="43"/>
        <v>2371.3999999999978</v>
      </c>
      <c r="AC88">
        <f t="shared" si="64"/>
        <v>197.40000000000191</v>
      </c>
      <c r="AD88">
        <v>0.97221786424472922</v>
      </c>
      <c r="AE88">
        <f t="shared" si="57"/>
        <v>0.50555328940725919</v>
      </c>
      <c r="AF88">
        <f t="shared" si="44"/>
        <v>7.6845219557770923</v>
      </c>
      <c r="AG88">
        <f t="shared" si="65"/>
        <v>5.1664279040797529</v>
      </c>
      <c r="AH88">
        <f t="shared" si="66"/>
        <v>2.6119046213929711E-2</v>
      </c>
      <c r="AI88" s="2">
        <f t="shared" si="34"/>
        <v>0.65297615534824271</v>
      </c>
      <c r="AJ88">
        <v>15</v>
      </c>
      <c r="AK88">
        <f>AI88-AI89</f>
        <v>0.21366380051956463</v>
      </c>
      <c r="AL88">
        <f t="shared" si="67"/>
        <v>1.4244253367970975E-2</v>
      </c>
    </row>
    <row r="89" spans="1:39" x14ac:dyDescent="0.2">
      <c r="A89" t="s">
        <v>49</v>
      </c>
      <c r="B89">
        <v>2021</v>
      </c>
      <c r="C89">
        <f t="shared" si="58"/>
        <v>4</v>
      </c>
      <c r="D89">
        <v>1</v>
      </c>
      <c r="E89">
        <v>2</v>
      </c>
      <c r="F89" t="s">
        <v>40</v>
      </c>
      <c r="G89">
        <v>10</v>
      </c>
      <c r="H89">
        <v>8.1999999999999993</v>
      </c>
      <c r="I89">
        <f t="shared" si="45"/>
        <v>0.82</v>
      </c>
      <c r="K89">
        <v>4</v>
      </c>
      <c r="M89">
        <v>54</v>
      </c>
      <c r="N89">
        <v>1.881</v>
      </c>
      <c r="O89">
        <v>31.699000000000002</v>
      </c>
      <c r="P89">
        <f t="shared" si="41"/>
        <v>29.818000000000001</v>
      </c>
      <c r="Q89">
        <v>18.521000000000001</v>
      </c>
      <c r="R89">
        <f t="shared" si="42"/>
        <v>16.64</v>
      </c>
      <c r="S89">
        <f t="shared" si="59"/>
        <v>13.178000000000001</v>
      </c>
      <c r="T89" s="4">
        <f t="shared" si="60"/>
        <v>44.194781675498021</v>
      </c>
      <c r="U89">
        <v>14</v>
      </c>
      <c r="V89">
        <v>27.7986</v>
      </c>
      <c r="W89">
        <v>31.584599999999998</v>
      </c>
      <c r="X89">
        <f t="shared" si="61"/>
        <v>3.7859999999999978</v>
      </c>
      <c r="Y89">
        <f t="shared" si="62"/>
        <v>3785.9999999999977</v>
      </c>
      <c r="Z89">
        <v>31.278600000000001</v>
      </c>
      <c r="AA89">
        <f t="shared" si="63"/>
        <v>3.4800000000000004</v>
      </c>
      <c r="AB89">
        <f t="shared" si="43"/>
        <v>3480.0000000000005</v>
      </c>
      <c r="AC89">
        <f t="shared" si="64"/>
        <v>305.99999999999727</v>
      </c>
      <c r="AD89">
        <v>1.0090025504668434</v>
      </c>
      <c r="AE89">
        <f t="shared" si="57"/>
        <v>0.82738209138281149</v>
      </c>
      <c r="AF89">
        <f t="shared" si="44"/>
        <v>8.0824088748018337</v>
      </c>
      <c r="AG89">
        <f t="shared" si="65"/>
        <v>5.30966719492866</v>
      </c>
      <c r="AH89">
        <f t="shared" si="66"/>
        <v>4.3931235482867807E-2</v>
      </c>
      <c r="AI89" s="2">
        <f t="shared" si="34"/>
        <v>0.43931235482867809</v>
      </c>
      <c r="AJ89">
        <v>10</v>
      </c>
      <c r="AK89">
        <f>AI89</f>
        <v>0.43931235482867809</v>
      </c>
      <c r="AL89">
        <f t="shared" si="67"/>
        <v>4.3931235482867807E-2</v>
      </c>
    </row>
    <row r="90" spans="1:39" x14ac:dyDescent="0.2">
      <c r="A90" t="s">
        <v>49</v>
      </c>
      <c r="B90">
        <v>2021</v>
      </c>
      <c r="C90">
        <f t="shared" si="58"/>
        <v>4</v>
      </c>
      <c r="D90">
        <v>1</v>
      </c>
      <c r="E90">
        <v>3</v>
      </c>
      <c r="F90" s="3" t="s">
        <v>41</v>
      </c>
      <c r="G90">
        <v>50</v>
      </c>
      <c r="H90">
        <v>12.5</v>
      </c>
      <c r="I90">
        <f t="shared" si="45"/>
        <v>0.25</v>
      </c>
      <c r="K90">
        <v>4</v>
      </c>
      <c r="M90">
        <v>55</v>
      </c>
      <c r="N90">
        <v>1.895</v>
      </c>
      <c r="O90">
        <v>31.158999999999999</v>
      </c>
      <c r="P90">
        <f t="shared" si="41"/>
        <v>29.263999999999999</v>
      </c>
      <c r="Q90">
        <v>16.481000000000002</v>
      </c>
      <c r="R90">
        <f t="shared" si="42"/>
        <v>14.586000000000002</v>
      </c>
      <c r="S90">
        <f t="shared" si="59"/>
        <v>14.677999999999997</v>
      </c>
      <c r="T90" s="4">
        <f t="shared" si="60"/>
        <v>50.157189721159092</v>
      </c>
      <c r="U90">
        <v>21</v>
      </c>
      <c r="V90">
        <v>31.083500000000001</v>
      </c>
      <c r="W90">
        <v>34.643700000000003</v>
      </c>
      <c r="X90">
        <f t="shared" si="61"/>
        <v>3.5602000000000018</v>
      </c>
      <c r="Y90">
        <f t="shared" si="62"/>
        <v>3560.2000000000016</v>
      </c>
      <c r="Z90">
        <v>34.260800000000003</v>
      </c>
      <c r="AA90">
        <f t="shared" si="63"/>
        <v>3.1773000000000025</v>
      </c>
      <c r="AB90">
        <f t="shared" si="43"/>
        <v>3177.3000000000025</v>
      </c>
      <c r="AC90">
        <f t="shared" si="64"/>
        <v>382.89999999999918</v>
      </c>
      <c r="AD90">
        <v>0.91301222541454419</v>
      </c>
      <c r="AE90">
        <f t="shared" si="57"/>
        <v>0.22825305635363605</v>
      </c>
      <c r="AF90">
        <f t="shared" si="44"/>
        <v>10.755013763271698</v>
      </c>
      <c r="AG90">
        <f t="shared" si="65"/>
        <v>6.271804954777811</v>
      </c>
      <c r="AH90">
        <f t="shared" si="66"/>
        <v>1.4315586497819135E-2</v>
      </c>
      <c r="AI90" s="2">
        <f t="shared" si="34"/>
        <v>0.71577932489095675</v>
      </c>
      <c r="AJ90">
        <v>25</v>
      </c>
      <c r="AK90">
        <f>AI90-(AK91+AK92)</f>
        <v>0.30992857223006032</v>
      </c>
      <c r="AL90">
        <f t="shared" si="67"/>
        <v>1.2397142889202413E-2</v>
      </c>
    </row>
    <row r="91" spans="1:39" x14ac:dyDescent="0.2">
      <c r="A91" t="s">
        <v>49</v>
      </c>
      <c r="B91">
        <v>2021</v>
      </c>
      <c r="C91">
        <f t="shared" si="58"/>
        <v>4</v>
      </c>
      <c r="D91">
        <v>1</v>
      </c>
      <c r="E91">
        <v>3</v>
      </c>
      <c r="F91" t="s">
        <v>39</v>
      </c>
      <c r="G91">
        <v>25</v>
      </c>
      <c r="H91">
        <v>7.5</v>
      </c>
      <c r="I91">
        <f t="shared" si="45"/>
        <v>0.3</v>
      </c>
      <c r="K91">
        <v>4</v>
      </c>
      <c r="M91">
        <v>56</v>
      </c>
      <c r="N91">
        <v>1.873</v>
      </c>
      <c r="O91">
        <v>34.314999999999998</v>
      </c>
      <c r="P91">
        <f t="shared" si="41"/>
        <v>32.442</v>
      </c>
      <c r="Q91">
        <v>18.734999999999999</v>
      </c>
      <c r="R91">
        <f t="shared" si="42"/>
        <v>16.861999999999998</v>
      </c>
      <c r="S91">
        <f t="shared" si="59"/>
        <v>15.580000000000002</v>
      </c>
      <c r="T91" s="4">
        <f t="shared" si="60"/>
        <v>48.024166204303071</v>
      </c>
      <c r="U91">
        <v>13</v>
      </c>
      <c r="V91">
        <v>22.196200000000001</v>
      </c>
      <c r="W91">
        <v>25.899699999999999</v>
      </c>
      <c r="X91">
        <f t="shared" si="61"/>
        <v>3.7034999999999982</v>
      </c>
      <c r="Y91">
        <f t="shared" si="62"/>
        <v>3703.4999999999982</v>
      </c>
      <c r="Z91">
        <v>25.574000000000002</v>
      </c>
      <c r="AA91">
        <f t="shared" si="63"/>
        <v>3.3778000000000006</v>
      </c>
      <c r="AB91">
        <f t="shared" si="43"/>
        <v>3377.8000000000006</v>
      </c>
      <c r="AC91">
        <f t="shared" si="64"/>
        <v>325.69999999999754</v>
      </c>
      <c r="AD91">
        <v>0.97221786424472922</v>
      </c>
      <c r="AE91">
        <f t="shared" si="57"/>
        <v>0.29166535927341875</v>
      </c>
      <c r="AF91">
        <f t="shared" si="44"/>
        <v>8.7943836911029489</v>
      </c>
      <c r="AG91">
        <f t="shared" si="65"/>
        <v>5.5659781287970613</v>
      </c>
      <c r="AH91">
        <f t="shared" si="66"/>
        <v>1.6234030106435857E-2</v>
      </c>
      <c r="AI91" s="2">
        <f t="shared" si="34"/>
        <v>0.40585075266089643</v>
      </c>
      <c r="AJ91">
        <v>15</v>
      </c>
      <c r="AK91">
        <f>AI91-AI92</f>
        <v>-0.16965802016955278</v>
      </c>
      <c r="AL91">
        <f t="shared" si="67"/>
        <v>-1.1310534677970186E-2</v>
      </c>
    </row>
    <row r="92" spans="1:39" x14ac:dyDescent="0.2">
      <c r="A92" t="s">
        <v>49</v>
      </c>
      <c r="B92">
        <v>2021</v>
      </c>
      <c r="C92">
        <f t="shared" si="58"/>
        <v>4</v>
      </c>
      <c r="D92">
        <v>1</v>
      </c>
      <c r="E92">
        <v>3</v>
      </c>
      <c r="F92" t="s">
        <v>40</v>
      </c>
      <c r="G92">
        <v>10</v>
      </c>
      <c r="H92">
        <v>9.3000000000000007</v>
      </c>
      <c r="I92">
        <f t="shared" si="45"/>
        <v>0.93</v>
      </c>
      <c r="K92">
        <v>4</v>
      </c>
      <c r="M92">
        <v>57</v>
      </c>
      <c r="N92">
        <v>1.889</v>
      </c>
      <c r="O92">
        <v>32.064</v>
      </c>
      <c r="P92">
        <f t="shared" si="41"/>
        <v>30.175000000000001</v>
      </c>
      <c r="Q92">
        <v>17.114000000000001</v>
      </c>
      <c r="R92">
        <f t="shared" si="42"/>
        <v>15.225000000000001</v>
      </c>
      <c r="S92">
        <f t="shared" si="59"/>
        <v>14.95</v>
      </c>
      <c r="T92" s="4">
        <f t="shared" si="60"/>
        <v>49.544324772162383</v>
      </c>
      <c r="U92">
        <v>1</v>
      </c>
      <c r="V92">
        <v>27.967700000000001</v>
      </c>
      <c r="W92">
        <v>31.490500000000001</v>
      </c>
      <c r="X92">
        <f t="shared" si="61"/>
        <v>3.5228000000000002</v>
      </c>
      <c r="Y92">
        <f t="shared" si="62"/>
        <v>3522.8</v>
      </c>
      <c r="Z92">
        <v>31.1252</v>
      </c>
      <c r="AA92">
        <f t="shared" si="63"/>
        <v>3.1574999999999989</v>
      </c>
      <c r="AB92">
        <f t="shared" si="43"/>
        <v>3157.4999999999991</v>
      </c>
      <c r="AC92">
        <f t="shared" si="64"/>
        <v>365.30000000000109</v>
      </c>
      <c r="AD92">
        <v>1.0090025504668434</v>
      </c>
      <c r="AE92">
        <f t="shared" si="57"/>
        <v>0.93837237193416445</v>
      </c>
      <c r="AF92">
        <f t="shared" si="44"/>
        <v>10.369592369705947</v>
      </c>
      <c r="AG92">
        <f t="shared" si="65"/>
        <v>6.1330532530941406</v>
      </c>
      <c r="AH92">
        <f t="shared" si="66"/>
        <v>5.7550877283044921E-2</v>
      </c>
      <c r="AI92" s="2">
        <f t="shared" si="34"/>
        <v>0.57550877283044921</v>
      </c>
      <c r="AJ92">
        <v>10</v>
      </c>
      <c r="AK92">
        <f>AI92</f>
        <v>0.57550877283044921</v>
      </c>
      <c r="AL92">
        <f t="shared" si="67"/>
        <v>5.7550877283044921E-2</v>
      </c>
    </row>
    <row r="93" spans="1:39" x14ac:dyDescent="0.2">
      <c r="A93" t="s">
        <v>49</v>
      </c>
      <c r="B93">
        <v>2017</v>
      </c>
      <c r="C93">
        <f t="shared" si="58"/>
        <v>8</v>
      </c>
      <c r="D93">
        <v>2</v>
      </c>
      <c r="E93">
        <v>1</v>
      </c>
      <c r="F93" s="3" t="s">
        <v>41</v>
      </c>
      <c r="G93">
        <v>50</v>
      </c>
      <c r="H93">
        <v>19.5</v>
      </c>
      <c r="I93">
        <f t="shared" si="45"/>
        <v>0.39</v>
      </c>
      <c r="K93">
        <v>4</v>
      </c>
      <c r="M93">
        <v>58</v>
      </c>
      <c r="N93">
        <v>1.8759999999999999</v>
      </c>
      <c r="O93">
        <v>35.56</v>
      </c>
      <c r="P93">
        <f t="shared" si="41"/>
        <v>33.684000000000005</v>
      </c>
      <c r="Q93">
        <v>16.882999999999999</v>
      </c>
      <c r="R93">
        <f t="shared" si="42"/>
        <v>15.007</v>
      </c>
      <c r="S93">
        <f t="shared" si="59"/>
        <v>18.677000000000007</v>
      </c>
      <c r="T93" s="4">
        <f t="shared" si="60"/>
        <v>55.44769029806438</v>
      </c>
      <c r="U93">
        <v>17</v>
      </c>
      <c r="V93">
        <v>28.977699999999999</v>
      </c>
      <c r="W93">
        <v>32.476399999999998</v>
      </c>
      <c r="X93">
        <f t="shared" si="61"/>
        <v>3.4986999999999995</v>
      </c>
      <c r="Y93">
        <f t="shared" si="62"/>
        <v>3498.6999999999994</v>
      </c>
      <c r="Z93">
        <v>32.082000000000001</v>
      </c>
      <c r="AA93">
        <f t="shared" si="63"/>
        <v>3.1043000000000021</v>
      </c>
      <c r="AB93">
        <f t="shared" si="43"/>
        <v>3104.300000000002</v>
      </c>
      <c r="AC93">
        <f t="shared" si="64"/>
        <v>394.39999999999736</v>
      </c>
      <c r="AD93">
        <v>0.91301222541454419</v>
      </c>
      <c r="AE93">
        <f t="shared" si="57"/>
        <v>0.35607476791167225</v>
      </c>
      <c r="AF93">
        <f t="shared" si="44"/>
        <v>11.272758453139664</v>
      </c>
      <c r="AG93">
        <f t="shared" si="65"/>
        <v>6.4581930431302794</v>
      </c>
      <c r="AH93">
        <f t="shared" si="66"/>
        <v>2.2995995889613905E-2</v>
      </c>
      <c r="AI93" s="2">
        <f t="shared" si="34"/>
        <v>1.1497997944806952</v>
      </c>
      <c r="AJ93">
        <v>25</v>
      </c>
      <c r="AK93">
        <f>AI93-(AK94+AK95)</f>
        <v>-5.5945020576267934E-2</v>
      </c>
      <c r="AL93">
        <f t="shared" si="67"/>
        <v>-2.2378008230507173E-3</v>
      </c>
      <c r="AM93" t="s">
        <v>50</v>
      </c>
    </row>
    <row r="94" spans="1:39" x14ac:dyDescent="0.2">
      <c r="A94" t="s">
        <v>49</v>
      </c>
      <c r="B94">
        <v>2017</v>
      </c>
      <c r="C94">
        <f t="shared" si="58"/>
        <v>8</v>
      </c>
      <c r="D94">
        <v>2</v>
      </c>
      <c r="E94">
        <v>1</v>
      </c>
      <c r="F94" t="s">
        <v>39</v>
      </c>
      <c r="G94">
        <v>25</v>
      </c>
      <c r="H94">
        <v>21</v>
      </c>
      <c r="I94">
        <f t="shared" si="45"/>
        <v>0.84</v>
      </c>
      <c r="K94">
        <v>4</v>
      </c>
      <c r="M94">
        <v>59</v>
      </c>
      <c r="N94">
        <v>1.8620000000000001</v>
      </c>
      <c r="O94">
        <v>33.177</v>
      </c>
      <c r="P94">
        <f t="shared" si="41"/>
        <v>31.314999999999998</v>
      </c>
      <c r="Q94">
        <v>15.846</v>
      </c>
      <c r="R94">
        <f t="shared" si="42"/>
        <v>13.984</v>
      </c>
      <c r="S94">
        <f t="shared" si="59"/>
        <v>17.330999999999996</v>
      </c>
      <c r="T94" s="4">
        <f t="shared" si="60"/>
        <v>55.344084304646323</v>
      </c>
      <c r="U94">
        <v>8</v>
      </c>
      <c r="V94">
        <v>27.3459</v>
      </c>
      <c r="W94">
        <v>30.5303</v>
      </c>
      <c r="X94">
        <f t="shared" si="61"/>
        <v>3.1844000000000001</v>
      </c>
      <c r="Y94">
        <f t="shared" si="62"/>
        <v>3184.4</v>
      </c>
      <c r="Z94">
        <v>30.220199999999998</v>
      </c>
      <c r="AA94">
        <f t="shared" si="63"/>
        <v>2.8742999999999981</v>
      </c>
      <c r="AB94">
        <f t="shared" si="43"/>
        <v>2874.2999999999979</v>
      </c>
      <c r="AC94">
        <f t="shared" si="64"/>
        <v>310.10000000000218</v>
      </c>
      <c r="AD94">
        <v>0.97221786424472922</v>
      </c>
      <c r="AE94">
        <f t="shared" si="57"/>
        <v>0.81666300596557251</v>
      </c>
      <c r="AF94">
        <f t="shared" si="44"/>
        <v>9.7380982288657876</v>
      </c>
      <c r="AG94">
        <f t="shared" si="65"/>
        <v>5.9057153623916836</v>
      </c>
      <c r="AH94">
        <f t="shared" si="66"/>
        <v>4.8229792602278526E-2</v>
      </c>
      <c r="AI94" s="2">
        <f t="shared" ref="AI94:AI109" si="68">AH94*G94</f>
        <v>1.2057448150569632</v>
      </c>
      <c r="AJ94">
        <v>15</v>
      </c>
      <c r="AK94">
        <f>AI94-AI95</f>
        <v>0.63469526218521344</v>
      </c>
      <c r="AL94">
        <f t="shared" si="67"/>
        <v>4.2313017479014232E-2</v>
      </c>
      <c r="AM94" t="s">
        <v>51</v>
      </c>
    </row>
    <row r="95" spans="1:39" x14ac:dyDescent="0.2">
      <c r="A95" t="s">
        <v>49</v>
      </c>
      <c r="B95">
        <v>2017</v>
      </c>
      <c r="C95">
        <f t="shared" si="58"/>
        <v>8</v>
      </c>
      <c r="D95">
        <v>2</v>
      </c>
      <c r="E95">
        <v>1</v>
      </c>
      <c r="F95" t="s">
        <v>40</v>
      </c>
      <c r="G95">
        <v>10</v>
      </c>
      <c r="H95">
        <v>10</v>
      </c>
      <c r="I95">
        <f t="shared" si="45"/>
        <v>1</v>
      </c>
      <c r="K95">
        <v>4</v>
      </c>
      <c r="M95">
        <v>60</v>
      </c>
      <c r="N95">
        <v>1.879</v>
      </c>
      <c r="O95">
        <v>31.585999999999999</v>
      </c>
      <c r="P95">
        <f t="shared" si="41"/>
        <v>29.706999999999997</v>
      </c>
      <c r="Q95">
        <v>18.035</v>
      </c>
      <c r="R95">
        <f t="shared" si="42"/>
        <v>16.155999999999999</v>
      </c>
      <c r="S95">
        <f t="shared" si="59"/>
        <v>13.550999999999998</v>
      </c>
      <c r="T95" s="4">
        <f t="shared" si="60"/>
        <v>45.615511495607095</v>
      </c>
      <c r="U95">
        <v>3</v>
      </c>
      <c r="V95">
        <v>28.9649</v>
      </c>
      <c r="W95">
        <v>32.54</v>
      </c>
      <c r="X95">
        <f t="shared" si="61"/>
        <v>3.5750999999999991</v>
      </c>
      <c r="Y95">
        <f t="shared" si="62"/>
        <v>3575.099999999999</v>
      </c>
      <c r="Z95">
        <v>32.216299999999997</v>
      </c>
      <c r="AA95">
        <f t="shared" si="63"/>
        <v>3.2513999999999967</v>
      </c>
      <c r="AB95">
        <f t="shared" si="43"/>
        <v>3251.3999999999969</v>
      </c>
      <c r="AC95">
        <f t="shared" si="64"/>
        <v>323.70000000000209</v>
      </c>
      <c r="AD95">
        <v>1.0090025504668434</v>
      </c>
      <c r="AE95">
        <f t="shared" si="57"/>
        <v>1.0090025504668434</v>
      </c>
      <c r="AF95">
        <f t="shared" si="44"/>
        <v>9.0542921876311766</v>
      </c>
      <c r="AG95">
        <f t="shared" si="65"/>
        <v>5.6595451875472236</v>
      </c>
      <c r="AH95">
        <f t="shared" si="66"/>
        <v>5.7104955287174977E-2</v>
      </c>
      <c r="AI95" s="2">
        <f t="shared" si="68"/>
        <v>0.57104955287174974</v>
      </c>
      <c r="AJ95">
        <v>10</v>
      </c>
      <c r="AK95">
        <f>AI95</f>
        <v>0.57104955287174974</v>
      </c>
      <c r="AL95">
        <f t="shared" si="67"/>
        <v>5.7104955287174977E-2</v>
      </c>
    </row>
    <row r="96" spans="1:39" x14ac:dyDescent="0.2">
      <c r="A96" t="s">
        <v>49</v>
      </c>
      <c r="B96">
        <v>2017</v>
      </c>
      <c r="C96">
        <f t="shared" si="58"/>
        <v>8</v>
      </c>
      <c r="D96">
        <v>2</v>
      </c>
      <c r="E96">
        <v>2</v>
      </c>
      <c r="F96" s="3" t="s">
        <v>41</v>
      </c>
      <c r="G96">
        <v>50</v>
      </c>
      <c r="H96">
        <v>18</v>
      </c>
      <c r="I96">
        <f t="shared" si="45"/>
        <v>0.36</v>
      </c>
      <c r="K96">
        <v>4</v>
      </c>
      <c r="M96">
        <v>61</v>
      </c>
      <c r="N96">
        <v>1.887</v>
      </c>
      <c r="O96">
        <v>35.898000000000003</v>
      </c>
      <c r="P96">
        <f t="shared" si="41"/>
        <v>34.011000000000003</v>
      </c>
      <c r="Q96">
        <v>19.742999999999999</v>
      </c>
      <c r="R96">
        <f t="shared" si="42"/>
        <v>17.855999999999998</v>
      </c>
      <c r="S96">
        <f t="shared" si="59"/>
        <v>16.155000000000005</v>
      </c>
      <c r="T96" s="4">
        <f t="shared" si="60"/>
        <v>47.499338449325229</v>
      </c>
      <c r="U96">
        <v>9</v>
      </c>
      <c r="V96">
        <v>30.433</v>
      </c>
      <c r="W96">
        <v>34.081800000000001</v>
      </c>
      <c r="X96">
        <f t="shared" si="61"/>
        <v>3.6488000000000014</v>
      </c>
      <c r="Y96">
        <f t="shared" si="62"/>
        <v>3648.8000000000015</v>
      </c>
      <c r="Z96">
        <v>33.815600000000003</v>
      </c>
      <c r="AA96">
        <f t="shared" si="63"/>
        <v>3.3826000000000036</v>
      </c>
      <c r="AB96">
        <f t="shared" si="43"/>
        <v>3382.6000000000035</v>
      </c>
      <c r="AC96">
        <f t="shared" si="64"/>
        <v>266.199999999998</v>
      </c>
      <c r="AD96">
        <v>0.91301222541454419</v>
      </c>
      <c r="AE96">
        <f t="shared" si="57"/>
        <v>0.32868440114923592</v>
      </c>
      <c r="AF96">
        <f t="shared" si="44"/>
        <v>7.295549221661858</v>
      </c>
      <c r="AG96">
        <f t="shared" si="65"/>
        <v>5.0263977197982683</v>
      </c>
      <c r="AH96">
        <f t="shared" si="66"/>
        <v>1.6520985244697785E-2</v>
      </c>
      <c r="AI96" s="2">
        <f t="shared" si="68"/>
        <v>0.82604926223488928</v>
      </c>
      <c r="AJ96">
        <v>25</v>
      </c>
      <c r="AK96">
        <f>AI96-(AK97+AK98)</f>
        <v>-3.3038916473635327E-2</v>
      </c>
      <c r="AL96">
        <f t="shared" si="67"/>
        <v>-1.321556658945413E-3</v>
      </c>
      <c r="AM96" t="s">
        <v>52</v>
      </c>
    </row>
    <row r="97" spans="1:39" x14ac:dyDescent="0.2">
      <c r="A97" t="s">
        <v>49</v>
      </c>
      <c r="B97">
        <v>2017</v>
      </c>
      <c r="C97">
        <f t="shared" si="58"/>
        <v>8</v>
      </c>
      <c r="D97">
        <v>2</v>
      </c>
      <c r="E97">
        <v>2</v>
      </c>
      <c r="F97" t="s">
        <v>39</v>
      </c>
      <c r="G97">
        <v>25</v>
      </c>
      <c r="H97">
        <v>18</v>
      </c>
      <c r="I97">
        <f t="shared" si="45"/>
        <v>0.72</v>
      </c>
      <c r="K97">
        <v>4</v>
      </c>
      <c r="M97">
        <v>62</v>
      </c>
      <c r="N97">
        <v>1.8819999999999999</v>
      </c>
      <c r="O97">
        <v>33.582000000000001</v>
      </c>
      <c r="P97">
        <f t="shared" si="41"/>
        <v>31.7</v>
      </c>
      <c r="Q97">
        <v>20.844999999999999</v>
      </c>
      <c r="R97">
        <f t="shared" si="42"/>
        <v>18.962999999999997</v>
      </c>
      <c r="S97">
        <f t="shared" si="59"/>
        <v>12.737000000000002</v>
      </c>
      <c r="T97" s="4">
        <f t="shared" si="60"/>
        <v>40.179810725552059</v>
      </c>
      <c r="U97">
        <v>6</v>
      </c>
      <c r="V97">
        <v>30.164100000000001</v>
      </c>
      <c r="W97">
        <v>33.5717</v>
      </c>
      <c r="X97">
        <f t="shared" si="61"/>
        <v>3.4075999999999986</v>
      </c>
      <c r="Y97">
        <f t="shared" si="62"/>
        <v>3407.5999999999985</v>
      </c>
      <c r="Z97">
        <v>33.334200000000003</v>
      </c>
      <c r="AA97">
        <f t="shared" si="63"/>
        <v>3.1701000000000015</v>
      </c>
      <c r="AB97">
        <f t="shared" si="43"/>
        <v>3170.1000000000013</v>
      </c>
      <c r="AC97">
        <f t="shared" si="64"/>
        <v>237.49999999999727</v>
      </c>
      <c r="AD97">
        <v>0.97221786424472922</v>
      </c>
      <c r="AE97">
        <f t="shared" si="57"/>
        <v>0.69999686225620505</v>
      </c>
      <c r="AF97">
        <f t="shared" si="44"/>
        <v>6.9697147552528875</v>
      </c>
      <c r="AG97">
        <f t="shared" si="65"/>
        <v>4.9090973118910393</v>
      </c>
      <c r="AH97">
        <f t="shared" si="66"/>
        <v>3.4363527148340983E-2</v>
      </c>
      <c r="AI97" s="2">
        <f t="shared" si="68"/>
        <v>0.85908817870852461</v>
      </c>
      <c r="AJ97">
        <v>15</v>
      </c>
      <c r="AK97">
        <f>AI97-AI98</f>
        <v>0.36815254242443418</v>
      </c>
      <c r="AL97">
        <f t="shared" si="67"/>
        <v>2.4543502828295611E-2</v>
      </c>
    </row>
    <row r="98" spans="1:39" x14ac:dyDescent="0.2">
      <c r="A98" t="s">
        <v>49</v>
      </c>
      <c r="B98">
        <v>2017</v>
      </c>
      <c r="C98">
        <f t="shared" si="58"/>
        <v>8</v>
      </c>
      <c r="D98">
        <v>2</v>
      </c>
      <c r="E98">
        <v>2</v>
      </c>
      <c r="F98" t="s">
        <v>40</v>
      </c>
      <c r="G98">
        <v>10</v>
      </c>
      <c r="H98">
        <v>10</v>
      </c>
      <c r="I98">
        <f t="shared" si="45"/>
        <v>1</v>
      </c>
      <c r="K98">
        <v>4</v>
      </c>
      <c r="M98">
        <v>63</v>
      </c>
      <c r="N98">
        <v>1.879</v>
      </c>
      <c r="O98">
        <v>36.164000000000001</v>
      </c>
      <c r="P98">
        <f t="shared" si="41"/>
        <v>34.285000000000004</v>
      </c>
      <c r="Q98">
        <v>23.641999999999999</v>
      </c>
      <c r="R98">
        <f t="shared" si="42"/>
        <v>21.762999999999998</v>
      </c>
      <c r="S98">
        <f t="shared" si="59"/>
        <v>12.522000000000006</v>
      </c>
      <c r="T98" s="4">
        <f t="shared" si="60"/>
        <v>36.523260901268792</v>
      </c>
      <c r="U98">
        <v>16</v>
      </c>
      <c r="V98">
        <v>28.4528</v>
      </c>
      <c r="W98">
        <v>32.161499999999997</v>
      </c>
      <c r="X98">
        <f t="shared" si="61"/>
        <v>3.7086999999999968</v>
      </c>
      <c r="Y98">
        <f t="shared" si="62"/>
        <v>3708.6999999999966</v>
      </c>
      <c r="Z98">
        <v>31.907499999999999</v>
      </c>
      <c r="AA98">
        <f t="shared" si="63"/>
        <v>3.454699999999999</v>
      </c>
      <c r="AB98">
        <f t="shared" si="43"/>
        <v>3454.6999999999989</v>
      </c>
      <c r="AC98">
        <f t="shared" si="64"/>
        <v>253.99999999999773</v>
      </c>
      <c r="AD98">
        <v>1.0090025504668434</v>
      </c>
      <c r="AE98">
        <f t="shared" si="57"/>
        <v>1.0090025504668434</v>
      </c>
      <c r="AF98">
        <f t="shared" si="44"/>
        <v>6.8487610213821011</v>
      </c>
      <c r="AG98">
        <f t="shared" si="65"/>
        <v>4.8655539676975561</v>
      </c>
      <c r="AH98">
        <f t="shared" si="66"/>
        <v>4.909356362840904E-2</v>
      </c>
      <c r="AI98" s="2">
        <f t="shared" si="68"/>
        <v>0.49093563628409043</v>
      </c>
      <c r="AJ98">
        <v>10</v>
      </c>
      <c r="AK98">
        <f>AI98</f>
        <v>0.49093563628409043</v>
      </c>
      <c r="AL98">
        <f t="shared" si="67"/>
        <v>4.909356362840904E-2</v>
      </c>
      <c r="AM98" t="s">
        <v>53</v>
      </c>
    </row>
    <row r="99" spans="1:39" x14ac:dyDescent="0.2">
      <c r="A99" t="s">
        <v>49</v>
      </c>
      <c r="B99">
        <v>2017</v>
      </c>
      <c r="C99">
        <f t="shared" si="58"/>
        <v>8</v>
      </c>
      <c r="D99">
        <v>2</v>
      </c>
      <c r="E99">
        <v>3</v>
      </c>
      <c r="F99" t="s">
        <v>41</v>
      </c>
      <c r="G99">
        <v>50</v>
      </c>
      <c r="H99">
        <v>16</v>
      </c>
      <c r="I99">
        <f t="shared" si="45"/>
        <v>0.32</v>
      </c>
      <c r="K99">
        <v>4</v>
      </c>
      <c r="M99">
        <v>64</v>
      </c>
      <c r="N99">
        <v>1.893</v>
      </c>
      <c r="O99">
        <v>35.481999999999999</v>
      </c>
      <c r="P99">
        <f t="shared" si="41"/>
        <v>33.588999999999999</v>
      </c>
      <c r="Q99">
        <v>19.297000000000001</v>
      </c>
      <c r="R99">
        <f t="shared" si="42"/>
        <v>17.404</v>
      </c>
      <c r="S99">
        <f t="shared" si="59"/>
        <v>16.184999999999999</v>
      </c>
      <c r="T99" s="4">
        <f t="shared" si="60"/>
        <v>48.185417845127866</v>
      </c>
      <c r="U99">
        <v>5</v>
      </c>
      <c r="V99">
        <v>22.167100000000001</v>
      </c>
      <c r="W99">
        <v>24.8886</v>
      </c>
      <c r="X99">
        <f t="shared" si="61"/>
        <v>2.7214999999999989</v>
      </c>
      <c r="Y99">
        <f t="shared" si="62"/>
        <v>2721.4999999999991</v>
      </c>
      <c r="Z99">
        <v>24.610399999999998</v>
      </c>
      <c r="AA99">
        <f t="shared" si="63"/>
        <v>2.4432999999999971</v>
      </c>
      <c r="AB99">
        <f t="shared" si="43"/>
        <v>2443.299999999997</v>
      </c>
      <c r="AC99">
        <f t="shared" si="64"/>
        <v>278.20000000000209</v>
      </c>
      <c r="AD99">
        <v>0.91301222541454419</v>
      </c>
      <c r="AE99">
        <f t="shared" si="57"/>
        <v>0.29216391213265414</v>
      </c>
      <c r="AF99">
        <f t="shared" si="44"/>
        <v>10.222303876538753</v>
      </c>
      <c r="AG99">
        <f t="shared" si="65"/>
        <v>6.0800293955539502</v>
      </c>
      <c r="AH99">
        <f t="shared" si="66"/>
        <v>1.7763651740865784E-2</v>
      </c>
      <c r="AI99" s="2">
        <f t="shared" si="68"/>
        <v>0.88818258704328923</v>
      </c>
      <c r="AJ99">
        <v>25</v>
      </c>
      <c r="AK99" s="5">
        <f>AI99-(AK100+AK101)</f>
        <v>-2.3421258414774742</v>
      </c>
      <c r="AL99" s="5">
        <f t="shared" si="67"/>
        <v>-9.3685033659098971E-2</v>
      </c>
      <c r="AM99" t="s">
        <v>54</v>
      </c>
    </row>
    <row r="100" spans="1:39" x14ac:dyDescent="0.2">
      <c r="A100" t="s">
        <v>49</v>
      </c>
      <c r="B100">
        <v>2017</v>
      </c>
      <c r="C100">
        <f t="shared" si="58"/>
        <v>8</v>
      </c>
      <c r="D100">
        <v>2</v>
      </c>
      <c r="E100">
        <v>3</v>
      </c>
      <c r="F100" t="s">
        <v>39</v>
      </c>
      <c r="G100">
        <v>25</v>
      </c>
      <c r="H100">
        <v>19.5</v>
      </c>
      <c r="I100">
        <f t="shared" si="45"/>
        <v>0.78</v>
      </c>
      <c r="K100">
        <v>4</v>
      </c>
      <c r="M100">
        <v>65</v>
      </c>
      <c r="N100">
        <v>1.895</v>
      </c>
      <c r="O100">
        <v>33.335000000000001</v>
      </c>
      <c r="P100">
        <f t="shared" si="41"/>
        <v>31.44</v>
      </c>
      <c r="Q100">
        <v>17.021000000000001</v>
      </c>
      <c r="R100">
        <f t="shared" si="42"/>
        <v>15.126000000000001</v>
      </c>
      <c r="S100">
        <f t="shared" si="59"/>
        <v>16.314</v>
      </c>
      <c r="T100" s="4">
        <f t="shared" si="60"/>
        <v>51.88931297709923</v>
      </c>
      <c r="U100">
        <v>18</v>
      </c>
      <c r="V100">
        <v>27.3673</v>
      </c>
      <c r="W100">
        <v>30.270600000000002</v>
      </c>
      <c r="X100">
        <f t="shared" si="61"/>
        <v>2.9033000000000015</v>
      </c>
      <c r="Y100">
        <f t="shared" si="62"/>
        <v>2903.3000000000015</v>
      </c>
      <c r="Z100">
        <v>29.09</v>
      </c>
      <c r="AA100">
        <f t="shared" si="63"/>
        <v>1.7226999999999997</v>
      </c>
      <c r="AB100">
        <f t="shared" si="43"/>
        <v>1722.6999999999996</v>
      </c>
      <c r="AC100">
        <f>Y100-AB100</f>
        <v>1180.600000000002</v>
      </c>
      <c r="AD100">
        <v>0.97221786424472922</v>
      </c>
      <c r="AE100">
        <f t="shared" si="57"/>
        <v>0.75832993411088878</v>
      </c>
      <c r="AF100">
        <f t="shared" si="44"/>
        <v>40.664071918162136</v>
      </c>
      <c r="AG100">
        <f t="shared" si="65"/>
        <v>17.039065890538367</v>
      </c>
      <c r="AH100">
        <f t="shared" si="66"/>
        <v>0.12921233714083052</v>
      </c>
      <c r="AI100" s="2">
        <f t="shared" si="68"/>
        <v>3.2303084285207633</v>
      </c>
      <c r="AJ100">
        <v>15</v>
      </c>
      <c r="AK100" s="5">
        <f t="shared" ref="AK100" si="69">AI100-AI101</f>
        <v>2.5952520247973809</v>
      </c>
      <c r="AL100" s="5">
        <f t="shared" si="67"/>
        <v>0.17301680165315872</v>
      </c>
    </row>
    <row r="101" spans="1:39" x14ac:dyDescent="0.2">
      <c r="A101" t="s">
        <v>49</v>
      </c>
      <c r="B101">
        <v>2017</v>
      </c>
      <c r="C101">
        <f t="shared" si="58"/>
        <v>8</v>
      </c>
      <c r="D101">
        <v>2</v>
      </c>
      <c r="E101">
        <v>3</v>
      </c>
      <c r="F101" t="s">
        <v>40</v>
      </c>
      <c r="G101">
        <v>10</v>
      </c>
      <c r="H101">
        <v>10</v>
      </c>
      <c r="I101">
        <f t="shared" si="45"/>
        <v>1</v>
      </c>
      <c r="K101">
        <v>4</v>
      </c>
      <c r="M101">
        <v>66</v>
      </c>
      <c r="N101">
        <v>1.879</v>
      </c>
      <c r="O101">
        <v>34.139000000000003</v>
      </c>
      <c r="P101">
        <f t="shared" si="41"/>
        <v>32.260000000000005</v>
      </c>
      <c r="Q101">
        <v>17.376999999999999</v>
      </c>
      <c r="R101">
        <f t="shared" si="42"/>
        <v>15.497999999999999</v>
      </c>
      <c r="S101">
        <f t="shared" si="59"/>
        <v>16.762000000000008</v>
      </c>
      <c r="T101" s="4">
        <f t="shared" si="60"/>
        <v>51.959082455052709</v>
      </c>
      <c r="U101">
        <v>11</v>
      </c>
      <c r="V101">
        <v>27.4434</v>
      </c>
      <c r="W101">
        <v>30.346399999999999</v>
      </c>
      <c r="X101">
        <f t="shared" si="61"/>
        <v>2.9029999999999987</v>
      </c>
      <c r="Y101">
        <f t="shared" si="62"/>
        <v>2902.9999999999986</v>
      </c>
      <c r="Z101">
        <v>30.032399999999999</v>
      </c>
      <c r="AA101">
        <f t="shared" si="63"/>
        <v>2.5889999999999986</v>
      </c>
      <c r="AB101">
        <f t="shared" si="43"/>
        <v>2588.9999999999986</v>
      </c>
      <c r="AC101">
        <f t="shared" si="64"/>
        <v>314</v>
      </c>
      <c r="AD101">
        <v>1.0090025504668434</v>
      </c>
      <c r="AE101">
        <f t="shared" si="57"/>
        <v>1.0090025504668434</v>
      </c>
      <c r="AF101">
        <f t="shared" si="44"/>
        <v>10.816396830864628</v>
      </c>
      <c r="AG101">
        <f t="shared" si="65"/>
        <v>6.2939028591112658</v>
      </c>
      <c r="AH101">
        <f t="shared" si="66"/>
        <v>6.3505640372338246E-2</v>
      </c>
      <c r="AI101" s="2">
        <f t="shared" si="68"/>
        <v>0.63505640372338246</v>
      </c>
      <c r="AJ101">
        <v>10</v>
      </c>
      <c r="AK101">
        <f t="shared" ref="AK101" si="70">AI101</f>
        <v>0.63505640372338246</v>
      </c>
      <c r="AL101">
        <f t="shared" si="67"/>
        <v>6.3505640372338246E-2</v>
      </c>
    </row>
    <row r="102" spans="1:39" x14ac:dyDescent="0.2">
      <c r="A102" t="s">
        <v>55</v>
      </c>
      <c r="B102">
        <v>2025</v>
      </c>
      <c r="C102">
        <f>2025-B102</f>
        <v>0</v>
      </c>
      <c r="D102">
        <v>1</v>
      </c>
      <c r="E102">
        <v>1</v>
      </c>
      <c r="F102" t="s">
        <v>38</v>
      </c>
      <c r="G102">
        <v>50</v>
      </c>
      <c r="H102">
        <v>14</v>
      </c>
      <c r="I102">
        <f>H102/G102</f>
        <v>0.28000000000000003</v>
      </c>
      <c r="K102">
        <v>4</v>
      </c>
      <c r="M102">
        <v>1</v>
      </c>
      <c r="N102">
        <v>1.8680000000000001</v>
      </c>
      <c r="O102">
        <v>35.682000000000002</v>
      </c>
      <c r="P102">
        <f t="shared" si="41"/>
        <v>33.814</v>
      </c>
      <c r="Q102">
        <v>8.2119999999999997</v>
      </c>
      <c r="R102">
        <f t="shared" si="42"/>
        <v>6.3439999999999994</v>
      </c>
      <c r="S102">
        <f>P102-R102</f>
        <v>27.47</v>
      </c>
      <c r="T102">
        <f>((P102-R102)/P102)*100</f>
        <v>81.23854024960076</v>
      </c>
      <c r="U102">
        <v>1</v>
      </c>
      <c r="V102">
        <v>27.968599999999999</v>
      </c>
      <c r="W102">
        <v>30.301300000000001</v>
      </c>
      <c r="X102">
        <f>W102-V102</f>
        <v>2.3327000000000027</v>
      </c>
      <c r="Y102">
        <f>X102*1000</f>
        <v>2332.7000000000025</v>
      </c>
      <c r="Z102">
        <v>28.4863</v>
      </c>
      <c r="AA102">
        <f>Z102-V102</f>
        <v>0.51770000000000138</v>
      </c>
      <c r="AB102">
        <f t="shared" si="43"/>
        <v>517.70000000000141</v>
      </c>
      <c r="AC102">
        <f>Y102-AB102</f>
        <v>1815.0000000000011</v>
      </c>
      <c r="AD102">
        <v>0.24107995004844848</v>
      </c>
      <c r="AE102">
        <f t="shared" si="57"/>
        <v>6.7502386013565577E-2</v>
      </c>
      <c r="AF102">
        <f t="shared" si="44"/>
        <v>77.806833283319719</v>
      </c>
      <c r="AG102">
        <f>0.36*AF102+2.4</f>
        <v>30.410459981995096</v>
      </c>
      <c r="AH102">
        <f>AE102*(AG102/100)</f>
        <v>2.0527786085547214E-2</v>
      </c>
      <c r="AI102">
        <f t="shared" si="68"/>
        <v>1.0263893042773606</v>
      </c>
      <c r="AJ102" t="s">
        <v>38</v>
      </c>
      <c r="AK102">
        <v>25</v>
      </c>
      <c r="AL102">
        <f>AH102-(AL103+AL104)</f>
        <v>-7.5259539534631749E-3</v>
      </c>
    </row>
    <row r="103" spans="1:39" x14ac:dyDescent="0.2">
      <c r="A103" t="s">
        <v>55</v>
      </c>
      <c r="B103">
        <v>2025</v>
      </c>
      <c r="C103">
        <f t="shared" ref="C103:C110" si="71">2025-B103</f>
        <v>0</v>
      </c>
      <c r="D103">
        <v>1</v>
      </c>
      <c r="E103">
        <v>1</v>
      </c>
      <c r="F103" t="s">
        <v>39</v>
      </c>
      <c r="G103">
        <v>25</v>
      </c>
      <c r="H103">
        <v>11</v>
      </c>
      <c r="I103">
        <f t="shared" ref="I103:I110" si="72">H103/G103</f>
        <v>0.44</v>
      </c>
      <c r="K103">
        <v>4</v>
      </c>
      <c r="M103">
        <v>2</v>
      </c>
      <c r="N103">
        <v>1.87</v>
      </c>
      <c r="O103">
        <v>33.213999999999999</v>
      </c>
      <c r="P103">
        <f t="shared" si="41"/>
        <v>31.343999999999998</v>
      </c>
      <c r="Q103">
        <v>8.07</v>
      </c>
      <c r="R103">
        <f t="shared" si="42"/>
        <v>6.2</v>
      </c>
      <c r="S103">
        <f t="shared" ref="S103:S110" si="73">P103-R103</f>
        <v>25.143999999999998</v>
      </c>
      <c r="T103">
        <f t="shared" ref="T103:T110" si="74">((P103-R103)/P103)*100</f>
        <v>80.219499744767745</v>
      </c>
      <c r="U103">
        <v>6</v>
      </c>
      <c r="V103">
        <v>30.164300000000001</v>
      </c>
      <c r="W103">
        <v>32.866199999999999</v>
      </c>
      <c r="X103">
        <f t="shared" ref="X103:X109" si="75">W103-V103</f>
        <v>2.7018999999999984</v>
      </c>
      <c r="Y103">
        <f t="shared" ref="Y103:Y109" si="76">X103*1000</f>
        <v>2701.8999999999983</v>
      </c>
      <c r="Z103">
        <v>30.791399999999999</v>
      </c>
      <c r="AA103">
        <f t="shared" ref="AA103:AA109" si="77">Z103-V103</f>
        <v>0.62709999999999866</v>
      </c>
      <c r="AB103">
        <f t="shared" si="43"/>
        <v>627.09999999999866</v>
      </c>
      <c r="AC103">
        <f t="shared" ref="AC103:AC109" si="78">Y103-AB103</f>
        <v>2074.7999999999997</v>
      </c>
      <c r="AD103">
        <v>0.21221322224515593</v>
      </c>
      <c r="AE103">
        <f t="shared" si="57"/>
        <v>9.3373817787868615E-2</v>
      </c>
      <c r="AF103">
        <f t="shared" si="44"/>
        <v>76.790406750805033</v>
      </c>
      <c r="AG103">
        <f t="shared" ref="AG103:AG109" si="79">0.36*AF103+2.4</f>
        <v>30.04454643028981</v>
      </c>
      <c r="AH103">
        <f>AE103*(AG103/100)</f>
        <v>2.8053740039010389E-2</v>
      </c>
      <c r="AI103">
        <f t="shared" si="68"/>
        <v>0.70134350097525977</v>
      </c>
      <c r="AJ103" t="s">
        <v>39</v>
      </c>
      <c r="AK103">
        <v>15</v>
      </c>
      <c r="AL103">
        <f>AH103-AH104</f>
        <v>-4.5294158232743222E-3</v>
      </c>
    </row>
    <row r="104" spans="1:39" x14ac:dyDescent="0.2">
      <c r="A104" t="s">
        <v>55</v>
      </c>
      <c r="B104">
        <v>2025</v>
      </c>
      <c r="C104">
        <f t="shared" si="71"/>
        <v>0</v>
      </c>
      <c r="D104">
        <v>1</v>
      </c>
      <c r="E104">
        <v>1</v>
      </c>
      <c r="F104" t="s">
        <v>40</v>
      </c>
      <c r="G104">
        <v>10</v>
      </c>
      <c r="H104">
        <v>8</v>
      </c>
      <c r="I104">
        <f t="shared" si="72"/>
        <v>0.8</v>
      </c>
      <c r="K104">
        <v>4</v>
      </c>
      <c r="M104">
        <v>3</v>
      </c>
      <c r="N104">
        <v>1.879</v>
      </c>
      <c r="O104">
        <v>30.547999999999998</v>
      </c>
      <c r="P104">
        <f t="shared" si="41"/>
        <v>28.668999999999997</v>
      </c>
      <c r="Q104">
        <v>6.3860000000000001</v>
      </c>
      <c r="R104">
        <f t="shared" si="42"/>
        <v>4.5069999999999997</v>
      </c>
      <c r="S104">
        <f t="shared" si="73"/>
        <v>24.161999999999999</v>
      </c>
      <c r="T104">
        <f t="shared" si="74"/>
        <v>84.279186577836697</v>
      </c>
      <c r="U104">
        <v>15</v>
      </c>
      <c r="V104">
        <v>27.8385</v>
      </c>
      <c r="W104">
        <v>30.345199999999998</v>
      </c>
      <c r="X104">
        <f t="shared" si="75"/>
        <v>2.5066999999999986</v>
      </c>
      <c r="Y104">
        <f t="shared" si="76"/>
        <v>2506.6999999999985</v>
      </c>
      <c r="Z104">
        <v>28.4541</v>
      </c>
      <c r="AA104">
        <f>Z104-V104</f>
        <v>0.61560000000000059</v>
      </c>
      <c r="AB104">
        <f t="shared" si="43"/>
        <v>615.60000000000059</v>
      </c>
      <c r="AC104">
        <f t="shared" si="78"/>
        <v>1891.0999999999979</v>
      </c>
      <c r="AD104">
        <v>0.13778839198180839</v>
      </c>
      <c r="AE104">
        <f t="shared" si="57"/>
        <v>0.11023071358544673</v>
      </c>
      <c r="AF104">
        <f t="shared" si="44"/>
        <v>75.441815933298713</v>
      </c>
      <c r="AG104">
        <f t="shared" si="79"/>
        <v>29.559053735987533</v>
      </c>
      <c r="AH104">
        <f t="shared" ref="AH104:AH109" si="80">AE104*(AG104/100)</f>
        <v>3.2583155862284711E-2</v>
      </c>
      <c r="AI104">
        <f t="shared" si="68"/>
        <v>0.32583155862284713</v>
      </c>
      <c r="AJ104" t="s">
        <v>40</v>
      </c>
      <c r="AK104">
        <v>10</v>
      </c>
      <c r="AL104">
        <f>AH104</f>
        <v>3.2583155862284711E-2</v>
      </c>
    </row>
    <row r="105" spans="1:39" x14ac:dyDescent="0.2">
      <c r="A105" t="s">
        <v>55</v>
      </c>
      <c r="B105">
        <v>2025</v>
      </c>
      <c r="C105">
        <f t="shared" si="71"/>
        <v>0</v>
      </c>
      <c r="D105">
        <v>1</v>
      </c>
      <c r="E105">
        <v>2</v>
      </c>
      <c r="F105" s="3" t="s">
        <v>41</v>
      </c>
      <c r="G105">
        <v>50</v>
      </c>
      <c r="H105">
        <v>24</v>
      </c>
      <c r="I105">
        <f t="shared" si="72"/>
        <v>0.48</v>
      </c>
      <c r="K105">
        <v>4</v>
      </c>
      <c r="M105">
        <v>4</v>
      </c>
      <c r="N105">
        <v>1.887</v>
      </c>
      <c r="O105">
        <v>28.922000000000001</v>
      </c>
      <c r="P105">
        <f t="shared" si="41"/>
        <v>27.035</v>
      </c>
      <c r="Q105">
        <v>6.5289999999999999</v>
      </c>
      <c r="R105">
        <f t="shared" si="42"/>
        <v>4.6419999999999995</v>
      </c>
      <c r="S105">
        <f t="shared" si="73"/>
        <v>22.393000000000001</v>
      </c>
      <c r="T105">
        <f t="shared" si="74"/>
        <v>82.82966524875161</v>
      </c>
      <c r="U105">
        <v>8</v>
      </c>
      <c r="V105">
        <v>27.346</v>
      </c>
      <c r="W105">
        <v>29.743400000000001</v>
      </c>
      <c r="X105">
        <f t="shared" si="75"/>
        <v>2.3974000000000011</v>
      </c>
      <c r="Y105">
        <f t="shared" si="76"/>
        <v>2397.400000000001</v>
      </c>
      <c r="Z105">
        <v>27.889199999999999</v>
      </c>
      <c r="AA105">
        <f t="shared" si="77"/>
        <v>0.54319999999999879</v>
      </c>
      <c r="AB105">
        <f t="shared" si="43"/>
        <v>543.19999999999879</v>
      </c>
      <c r="AC105">
        <f t="shared" si="78"/>
        <v>1854.2000000000021</v>
      </c>
      <c r="AD105">
        <v>0.24107995004844848</v>
      </c>
      <c r="AE105">
        <f t="shared" si="57"/>
        <v>0.11571837602325527</v>
      </c>
      <c r="AF105">
        <f t="shared" si="44"/>
        <v>77.342120630683297</v>
      </c>
      <c r="AG105">
        <f t="shared" si="79"/>
        <v>30.243163427045985</v>
      </c>
      <c r="AH105">
        <f t="shared" si="80"/>
        <v>3.4996897575836683E-2</v>
      </c>
      <c r="AI105">
        <f t="shared" si="68"/>
        <v>1.7498448787918341</v>
      </c>
      <c r="AJ105" s="3" t="s">
        <v>41</v>
      </c>
      <c r="AK105">
        <v>25</v>
      </c>
      <c r="AL105">
        <f>AH105-(AL106+AL107)</f>
        <v>-1.0746462485845272E-2</v>
      </c>
    </row>
    <row r="106" spans="1:39" x14ac:dyDescent="0.2">
      <c r="A106" t="s">
        <v>55</v>
      </c>
      <c r="B106">
        <v>2025</v>
      </c>
      <c r="C106">
        <f t="shared" si="71"/>
        <v>0</v>
      </c>
      <c r="D106">
        <v>1</v>
      </c>
      <c r="E106">
        <v>2</v>
      </c>
      <c r="F106" t="s">
        <v>39</v>
      </c>
      <c r="G106">
        <v>25</v>
      </c>
      <c r="H106">
        <v>18</v>
      </c>
      <c r="I106">
        <f t="shared" si="72"/>
        <v>0.72</v>
      </c>
      <c r="K106">
        <v>4</v>
      </c>
      <c r="M106">
        <v>5</v>
      </c>
      <c r="N106">
        <v>1.893</v>
      </c>
      <c r="O106">
        <v>32.536999999999999</v>
      </c>
      <c r="P106">
        <f t="shared" si="41"/>
        <v>30.643999999999998</v>
      </c>
      <c r="Q106">
        <v>6.83</v>
      </c>
      <c r="R106">
        <f t="shared" si="42"/>
        <v>4.9370000000000003</v>
      </c>
      <c r="S106">
        <f t="shared" si="73"/>
        <v>25.706999999999997</v>
      </c>
      <c r="T106">
        <f t="shared" si="74"/>
        <v>83.889178958360517</v>
      </c>
      <c r="U106">
        <v>13</v>
      </c>
      <c r="V106">
        <v>22.196400000000001</v>
      </c>
      <c r="W106">
        <v>24.901299999999999</v>
      </c>
      <c r="X106">
        <f t="shared" si="75"/>
        <v>2.7048999999999985</v>
      </c>
      <c r="Y106">
        <f t="shared" si="76"/>
        <v>2704.8999999999987</v>
      </c>
      <c r="Z106">
        <v>22.8322</v>
      </c>
      <c r="AA106">
        <f t="shared" si="77"/>
        <v>0.6357999999999997</v>
      </c>
      <c r="AB106">
        <f t="shared" si="43"/>
        <v>635.79999999999973</v>
      </c>
      <c r="AC106">
        <f t="shared" si="78"/>
        <v>2069.099999999999</v>
      </c>
      <c r="AD106">
        <v>0.21221322224515593</v>
      </c>
      <c r="AE106">
        <f t="shared" si="57"/>
        <v>0.15279352001651225</v>
      </c>
      <c r="AF106">
        <f t="shared" si="44"/>
        <v>76.494509963399764</v>
      </c>
      <c r="AG106">
        <f t="shared" si="79"/>
        <v>29.938023586823913</v>
      </c>
      <c r="AH106">
        <f t="shared" si="80"/>
        <v>4.5743360061681955E-2</v>
      </c>
      <c r="AI106">
        <f t="shared" si="68"/>
        <v>1.1435840015420489</v>
      </c>
      <c r="AJ106" t="s">
        <v>39</v>
      </c>
      <c r="AK106">
        <v>15</v>
      </c>
      <c r="AL106">
        <f>AH106-AH107</f>
        <v>5.9345847899742593E-3</v>
      </c>
      <c r="AM106" t="s">
        <v>56</v>
      </c>
    </row>
    <row r="107" spans="1:39" x14ac:dyDescent="0.2">
      <c r="A107" t="s">
        <v>55</v>
      </c>
      <c r="B107">
        <v>2025</v>
      </c>
      <c r="C107">
        <f t="shared" si="71"/>
        <v>0</v>
      </c>
      <c r="D107">
        <v>1</v>
      </c>
      <c r="E107">
        <v>2</v>
      </c>
      <c r="F107" t="s">
        <v>40</v>
      </c>
      <c r="G107">
        <v>10</v>
      </c>
      <c r="H107">
        <v>10</v>
      </c>
      <c r="I107">
        <f t="shared" si="72"/>
        <v>1</v>
      </c>
      <c r="K107">
        <v>4</v>
      </c>
      <c r="M107">
        <v>6</v>
      </c>
      <c r="N107">
        <v>1.881</v>
      </c>
      <c r="O107">
        <v>33.601999999999997</v>
      </c>
      <c r="P107">
        <f t="shared" si="41"/>
        <v>31.720999999999997</v>
      </c>
      <c r="Q107">
        <v>6.5640000000000001</v>
      </c>
      <c r="R107">
        <f t="shared" si="42"/>
        <v>4.6829999999999998</v>
      </c>
      <c r="S107">
        <f t="shared" si="73"/>
        <v>27.037999999999997</v>
      </c>
      <c r="T107">
        <f t="shared" si="74"/>
        <v>85.236909302985396</v>
      </c>
      <c r="U107">
        <v>2</v>
      </c>
      <c r="V107">
        <v>26.645499999999998</v>
      </c>
      <c r="W107">
        <v>28.962900000000001</v>
      </c>
      <c r="X107">
        <f t="shared" si="75"/>
        <v>2.3174000000000028</v>
      </c>
      <c r="Y107">
        <f t="shared" si="76"/>
        <v>2317.4000000000028</v>
      </c>
      <c r="Z107">
        <v>27.2576</v>
      </c>
      <c r="AA107">
        <f>Z107-V107</f>
        <v>0.61210000000000164</v>
      </c>
      <c r="AB107">
        <f t="shared" si="43"/>
        <v>612.10000000000161</v>
      </c>
      <c r="AC107">
        <f t="shared" si="78"/>
        <v>1705.3000000000011</v>
      </c>
      <c r="AD107">
        <v>0.13778839198180839</v>
      </c>
      <c r="AE107">
        <f t="shared" si="57"/>
        <v>0.13778839198180839</v>
      </c>
      <c r="AF107">
        <f t="shared" si="44"/>
        <v>73.586778286010144</v>
      </c>
      <c r="AG107">
        <f t="shared" si="79"/>
        <v>28.891240182963649</v>
      </c>
      <c r="AH107">
        <f t="shared" si="80"/>
        <v>3.9808775271707696E-2</v>
      </c>
      <c r="AI107">
        <f t="shared" si="68"/>
        <v>0.39808775271707697</v>
      </c>
      <c r="AJ107" t="s">
        <v>40</v>
      </c>
      <c r="AK107">
        <v>10</v>
      </c>
      <c r="AL107">
        <f>AH107</f>
        <v>3.9808775271707696E-2</v>
      </c>
      <c r="AM107" t="s">
        <v>57</v>
      </c>
    </row>
    <row r="108" spans="1:39" x14ac:dyDescent="0.2">
      <c r="A108" t="s">
        <v>55</v>
      </c>
      <c r="B108">
        <v>2025</v>
      </c>
      <c r="C108">
        <f t="shared" si="71"/>
        <v>0</v>
      </c>
      <c r="D108">
        <v>1</v>
      </c>
      <c r="E108">
        <v>3</v>
      </c>
      <c r="F108" s="3" t="s">
        <v>41</v>
      </c>
      <c r="G108">
        <v>50</v>
      </c>
      <c r="H108">
        <v>25</v>
      </c>
      <c r="I108">
        <f t="shared" si="72"/>
        <v>0.5</v>
      </c>
      <c r="K108">
        <v>4</v>
      </c>
      <c r="M108">
        <v>7</v>
      </c>
      <c r="N108">
        <v>1.863</v>
      </c>
      <c r="O108">
        <v>29.98</v>
      </c>
      <c r="P108">
        <f t="shared" si="41"/>
        <v>28.117000000000001</v>
      </c>
      <c r="Q108">
        <v>8.0239999999999991</v>
      </c>
      <c r="R108">
        <f t="shared" si="42"/>
        <v>6.1609999999999996</v>
      </c>
      <c r="S108">
        <f t="shared" si="73"/>
        <v>21.956000000000003</v>
      </c>
      <c r="T108">
        <f t="shared" si="74"/>
        <v>78.087989472561091</v>
      </c>
      <c r="U108">
        <v>21</v>
      </c>
      <c r="V108">
        <v>31.079699999999999</v>
      </c>
      <c r="W108">
        <v>33.519500000000001</v>
      </c>
      <c r="X108">
        <f t="shared" si="75"/>
        <v>2.4398000000000017</v>
      </c>
      <c r="Y108">
        <f t="shared" si="76"/>
        <v>2439.8000000000015</v>
      </c>
      <c r="Z108">
        <v>31.578199999999999</v>
      </c>
      <c r="AA108">
        <f t="shared" si="77"/>
        <v>0.49849999999999994</v>
      </c>
      <c r="AB108">
        <f t="shared" si="43"/>
        <v>498.49999999999994</v>
      </c>
      <c r="AC108">
        <f t="shared" si="78"/>
        <v>1941.3000000000015</v>
      </c>
      <c r="AD108">
        <v>0.24107995004844848</v>
      </c>
      <c r="AE108">
        <f t="shared" si="57"/>
        <v>0.12053997502422424</v>
      </c>
      <c r="AF108">
        <f t="shared" si="44"/>
        <v>79.567997376834171</v>
      </c>
      <c r="AG108">
        <f t="shared" si="79"/>
        <v>31.0444790556603</v>
      </c>
      <c r="AH108">
        <f t="shared" si="80"/>
        <v>3.7421007300093449E-2</v>
      </c>
      <c r="AI108">
        <f t="shared" si="68"/>
        <v>1.8710503650046724</v>
      </c>
      <c r="AJ108" s="3" t="s">
        <v>41</v>
      </c>
      <c r="AK108">
        <v>25</v>
      </c>
      <c r="AL108">
        <f t="shared" ref="AL108" si="81">AH108-(AL109+AL110)</f>
        <v>-1.6193336646215778E-2</v>
      </c>
      <c r="AM108" t="s">
        <v>58</v>
      </c>
    </row>
    <row r="109" spans="1:39" x14ac:dyDescent="0.2">
      <c r="A109" t="s">
        <v>55</v>
      </c>
      <c r="B109">
        <v>2025</v>
      </c>
      <c r="C109">
        <f t="shared" si="71"/>
        <v>0</v>
      </c>
      <c r="D109">
        <v>1</v>
      </c>
      <c r="E109">
        <v>3</v>
      </c>
      <c r="F109" t="s">
        <v>39</v>
      </c>
      <c r="G109">
        <v>25</v>
      </c>
      <c r="H109">
        <v>20</v>
      </c>
      <c r="I109">
        <f t="shared" si="72"/>
        <v>0.8</v>
      </c>
      <c r="K109">
        <v>4</v>
      </c>
      <c r="M109">
        <v>8</v>
      </c>
      <c r="N109">
        <v>1.8740000000000001</v>
      </c>
      <c r="O109">
        <v>30.741</v>
      </c>
      <c r="P109">
        <f t="shared" si="41"/>
        <v>28.867000000000001</v>
      </c>
      <c r="Q109">
        <v>7.8330000000000002</v>
      </c>
      <c r="R109">
        <f t="shared" si="42"/>
        <v>5.9589999999999996</v>
      </c>
      <c r="S109">
        <f t="shared" si="73"/>
        <v>22.908000000000001</v>
      </c>
      <c r="T109">
        <f t="shared" si="74"/>
        <v>79.357051304257453</v>
      </c>
      <c r="U109">
        <v>12</v>
      </c>
      <c r="V109">
        <v>29.423300000000001</v>
      </c>
      <c r="W109">
        <v>32.313000000000002</v>
      </c>
      <c r="X109">
        <f t="shared" si="75"/>
        <v>2.8897000000000013</v>
      </c>
      <c r="Y109">
        <f t="shared" si="76"/>
        <v>2889.7000000000012</v>
      </c>
      <c r="Z109">
        <v>29.970700000000001</v>
      </c>
      <c r="AA109">
        <f t="shared" si="77"/>
        <v>0.54739999999999966</v>
      </c>
      <c r="AB109">
        <f t="shared" si="43"/>
        <v>547.39999999999964</v>
      </c>
      <c r="AC109">
        <f t="shared" si="78"/>
        <v>2342.3000000000015</v>
      </c>
      <c r="AD109">
        <v>0.21221322224515593</v>
      </c>
      <c r="AE109">
        <f t="shared" si="57"/>
        <v>0.16977057779612476</v>
      </c>
      <c r="AF109">
        <f t="shared" si="44"/>
        <v>81.056857113195164</v>
      </c>
      <c r="AG109">
        <f t="shared" si="79"/>
        <v>31.580468560750255</v>
      </c>
      <c r="AH109">
        <f t="shared" si="80"/>
        <v>5.3614343946309227E-2</v>
      </c>
      <c r="AI109">
        <f t="shared" si="68"/>
        <v>1.3403585986577307</v>
      </c>
      <c r="AJ109" t="s">
        <v>39</v>
      </c>
      <c r="AK109">
        <v>15</v>
      </c>
      <c r="AL109">
        <f t="shared" ref="AL109" si="82">AH109-AH110</f>
        <v>5.3614343946309227E-2</v>
      </c>
    </row>
    <row r="110" spans="1:39" x14ac:dyDescent="0.2">
      <c r="A110" t="s">
        <v>55</v>
      </c>
      <c r="B110">
        <v>2025</v>
      </c>
      <c r="C110">
        <f t="shared" si="71"/>
        <v>0</v>
      </c>
      <c r="D110">
        <v>1</v>
      </c>
      <c r="E110">
        <v>3</v>
      </c>
      <c r="F110" t="s">
        <v>40</v>
      </c>
      <c r="G110">
        <v>10</v>
      </c>
      <c r="H110">
        <v>10</v>
      </c>
      <c r="I110">
        <f t="shared" si="72"/>
        <v>1</v>
      </c>
      <c r="K110">
        <v>4</v>
      </c>
      <c r="M110">
        <v>9</v>
      </c>
      <c r="N110">
        <v>1.8320000000000001</v>
      </c>
      <c r="O110">
        <v>32.436999999999998</v>
      </c>
      <c r="P110">
        <f t="shared" si="41"/>
        <v>30.604999999999997</v>
      </c>
      <c r="Q110">
        <v>6.7889999999999997</v>
      </c>
      <c r="R110">
        <f t="shared" si="42"/>
        <v>4.9569999999999999</v>
      </c>
      <c r="S110">
        <f t="shared" si="73"/>
        <v>25.647999999999996</v>
      </c>
      <c r="T110">
        <f t="shared" si="74"/>
        <v>83.803300114360397</v>
      </c>
      <c r="AE110">
        <f>SUM(AE3:AE109)/101</f>
        <v>0.54262574899110705</v>
      </c>
      <c r="AJ110" t="s">
        <v>40</v>
      </c>
      <c r="AK110">
        <v>10</v>
      </c>
      <c r="AM110" t="s">
        <v>59</v>
      </c>
    </row>
  </sheetData>
  <autoFilter ref="A1:AM110" xr:uid="{B54EFFEB-0747-E340-9763-42E006C91CF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A9C6-7ADD-EB49-BD2C-5D408985DA5D}">
  <dimension ref="A1:AK109"/>
  <sheetViews>
    <sheetView zoomScale="131" workbookViewId="0">
      <pane xSplit="6" topLeftCell="AB1" activePane="topRight" state="frozen"/>
      <selection pane="topRight" activeCell="AE3" sqref="AE3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61</v>
      </c>
      <c r="AF1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2018</v>
      </c>
      <c r="C2">
        <f t="shared" ref="C2:C28" si="0">2025-B2</f>
        <v>7</v>
      </c>
      <c r="D2">
        <v>1</v>
      </c>
      <c r="E2">
        <v>1</v>
      </c>
      <c r="F2" t="s">
        <v>38</v>
      </c>
      <c r="L2" s="1"/>
      <c r="AG2" s="6"/>
      <c r="AH2" s="6"/>
      <c r="AI2" s="6"/>
      <c r="AJ2" s="6"/>
    </row>
    <row r="3" spans="1:37" x14ac:dyDescent="0.2">
      <c r="A3" t="s">
        <v>37</v>
      </c>
      <c r="B3">
        <v>2018</v>
      </c>
      <c r="C3">
        <f t="shared" si="0"/>
        <v>7</v>
      </c>
      <c r="D3">
        <v>1</v>
      </c>
      <c r="E3">
        <v>1</v>
      </c>
      <c r="F3" t="s">
        <v>39</v>
      </c>
      <c r="G3">
        <v>100</v>
      </c>
      <c r="H3">
        <v>27</v>
      </c>
      <c r="I3">
        <f>H3/G3</f>
        <v>0.27</v>
      </c>
      <c r="K3">
        <v>30</v>
      </c>
      <c r="L3" s="1">
        <v>10</v>
      </c>
      <c r="M3">
        <v>5.14</v>
      </c>
      <c r="N3">
        <v>48.21</v>
      </c>
      <c r="O3">
        <f>N3-M3</f>
        <v>43.07</v>
      </c>
      <c r="P3">
        <v>31.73</v>
      </c>
      <c r="Q3">
        <f>P3-M3</f>
        <v>26.59</v>
      </c>
      <c r="R3">
        <f>O3-Q3</f>
        <v>16.48</v>
      </c>
      <c r="S3">
        <f>((O3-Q3)/O3)*100</f>
        <v>38.263292314836313</v>
      </c>
      <c r="T3">
        <v>10</v>
      </c>
      <c r="U3">
        <v>28.59</v>
      </c>
      <c r="V3">
        <v>31.501000000000001</v>
      </c>
      <c r="W3">
        <f>V3-U3</f>
        <v>2.9110000000000014</v>
      </c>
      <c r="X3">
        <f>W3*1000</f>
        <v>2911.0000000000014</v>
      </c>
      <c r="Y3">
        <v>31.300999999999998</v>
      </c>
      <c r="Z3">
        <f>Y3-U3</f>
        <v>2.7109999999999985</v>
      </c>
      <c r="AA3">
        <f>Z3*1000</f>
        <v>2710.9999999999986</v>
      </c>
      <c r="AB3">
        <f>X3-AA3</f>
        <v>200.00000000000273</v>
      </c>
      <c r="AC3">
        <v>0.70440106584149909</v>
      </c>
      <c r="AD3">
        <f>((X3-AA3)/X3)*100</f>
        <v>6.8704912401237594</v>
      </c>
      <c r="AE3">
        <f>0.415*AD3+2.89</f>
        <v>5.7412538646513607</v>
      </c>
      <c r="AF3">
        <f>AC3*(AE3/100)</f>
        <v>4.0441453415270438E-2</v>
      </c>
      <c r="AG3" s="6">
        <f>AF3*AH3</f>
        <v>1.3467003987285056</v>
      </c>
      <c r="AH3" s="6">
        <v>33.299999999999997</v>
      </c>
      <c r="AI3" s="6">
        <f>AG3</f>
        <v>1.3467003987285056</v>
      </c>
      <c r="AJ3" s="6">
        <f>AI3/AH3</f>
        <v>4.0441453415270438E-2</v>
      </c>
    </row>
    <row r="4" spans="1:37" x14ac:dyDescent="0.2">
      <c r="A4" t="s">
        <v>37</v>
      </c>
      <c r="B4">
        <v>2018</v>
      </c>
      <c r="C4">
        <f t="shared" si="0"/>
        <v>7</v>
      </c>
      <c r="D4">
        <v>1</v>
      </c>
      <c r="E4">
        <v>1</v>
      </c>
      <c r="F4" t="s">
        <v>40</v>
      </c>
      <c r="G4">
        <v>100</v>
      </c>
      <c r="H4">
        <v>27</v>
      </c>
      <c r="I4">
        <f>H4/G4</f>
        <v>0.27</v>
      </c>
      <c r="K4">
        <v>30</v>
      </c>
      <c r="L4" s="1">
        <v>15</v>
      </c>
      <c r="M4">
        <v>5.13</v>
      </c>
      <c r="N4">
        <v>41</v>
      </c>
      <c r="O4">
        <f>N4-M4</f>
        <v>35.869999999999997</v>
      </c>
      <c r="P4">
        <v>23.25</v>
      </c>
      <c r="Q4">
        <f>P4-M4</f>
        <v>18.12</v>
      </c>
      <c r="R4">
        <f>O4-Q4</f>
        <v>17.749999999999996</v>
      </c>
      <c r="S4">
        <f>((O4-Q4)/O4)*100</f>
        <v>49.484248675773621</v>
      </c>
      <c r="T4">
        <v>15</v>
      </c>
      <c r="U4">
        <v>27.856000000000002</v>
      </c>
      <c r="V4">
        <v>30.731000000000002</v>
      </c>
      <c r="W4">
        <f>V4-U4</f>
        <v>2.875</v>
      </c>
      <c r="X4">
        <f>W4*1000</f>
        <v>2875</v>
      </c>
      <c r="Y4">
        <v>30.305</v>
      </c>
      <c r="Z4">
        <f>Y4-U4</f>
        <v>2.4489999999999981</v>
      </c>
      <c r="AA4">
        <f>Z4*1000</f>
        <v>2448.9999999999982</v>
      </c>
      <c r="AB4">
        <f>X4-AA4</f>
        <v>426.00000000000182</v>
      </c>
      <c r="AC4">
        <v>0.78573459370935805</v>
      </c>
      <c r="AD4">
        <f>((X4-AA4)/X4)*100</f>
        <v>14.81739130434789</v>
      </c>
      <c r="AE4">
        <f t="shared" ref="AE4:AE67" si="1">0.415*AD4+2.89</f>
        <v>9.0392173913043745</v>
      </c>
      <c r="AF4">
        <f>AC4*(AE4/100)</f>
        <v>7.1024258044071059E-2</v>
      </c>
      <c r="AG4" s="6">
        <f t="shared" ref="AG4:AG28" si="2">AF4*AH4</f>
        <v>2.3651077928675659</v>
      </c>
      <c r="AH4" s="6">
        <v>33.299999999999997</v>
      </c>
      <c r="AI4" s="6">
        <f t="shared" ref="AI4:AI28" si="3">AG4</f>
        <v>2.3651077928675659</v>
      </c>
      <c r="AJ4" s="6">
        <f t="shared" ref="AJ4:AJ18" si="4">AI4/AH4</f>
        <v>7.1024258044071059E-2</v>
      </c>
    </row>
    <row r="5" spans="1:37" x14ac:dyDescent="0.2">
      <c r="A5" t="s">
        <v>37</v>
      </c>
      <c r="B5">
        <v>2018</v>
      </c>
      <c r="C5">
        <f t="shared" si="0"/>
        <v>7</v>
      </c>
      <c r="D5">
        <v>1</v>
      </c>
      <c r="E5">
        <v>2</v>
      </c>
      <c r="F5" s="3" t="s">
        <v>41</v>
      </c>
      <c r="G5" s="3">
        <v>100</v>
      </c>
      <c r="H5" s="3">
        <v>30</v>
      </c>
      <c r="I5" s="3">
        <f>H5/G5</f>
        <v>0.3</v>
      </c>
      <c r="J5" s="3"/>
      <c r="K5">
        <v>30</v>
      </c>
      <c r="L5" s="1">
        <v>26</v>
      </c>
      <c r="M5">
        <v>4.99</v>
      </c>
      <c r="N5">
        <v>41.91</v>
      </c>
      <c r="O5">
        <f>N5-M5</f>
        <v>36.919999999999995</v>
      </c>
      <c r="P5">
        <v>22.33</v>
      </c>
      <c r="Q5">
        <f>P5-M5</f>
        <v>17.339999999999996</v>
      </c>
      <c r="R5">
        <f>O5-Q5</f>
        <v>19.579999999999998</v>
      </c>
      <c r="S5">
        <f>((O5-Q5)/O5)*100</f>
        <v>53.033586132177682</v>
      </c>
      <c r="T5">
        <v>26</v>
      </c>
      <c r="U5">
        <v>29.137</v>
      </c>
      <c r="V5">
        <v>32.795999999999999</v>
      </c>
      <c r="W5">
        <f>V5-U5</f>
        <v>3.6589999999999989</v>
      </c>
      <c r="X5">
        <f>W5*1000</f>
        <v>3658.9999999999991</v>
      </c>
      <c r="Y5">
        <v>32.319000000000003</v>
      </c>
      <c r="Z5">
        <f>Y5-U5</f>
        <v>3.1820000000000022</v>
      </c>
      <c r="AA5">
        <f>Z5*1000</f>
        <v>3182.0000000000023</v>
      </c>
      <c r="AB5">
        <f>X5-AA5</f>
        <v>476.99999999999682</v>
      </c>
      <c r="AC5">
        <v>0.9189406814809622</v>
      </c>
      <c r="AD5">
        <f>((X5-AA5)/X5)*100</f>
        <v>13.03634872916089</v>
      </c>
      <c r="AE5">
        <f t="shared" si="1"/>
        <v>8.3000847226017687</v>
      </c>
      <c r="AF5">
        <f>AC5*(AE5/100)</f>
        <v>7.6272855113373936E-2</v>
      </c>
      <c r="AG5" s="6">
        <f t="shared" si="2"/>
        <v>2.5398860752753518</v>
      </c>
      <c r="AH5" s="6">
        <v>33.299999999999997</v>
      </c>
      <c r="AI5" s="6">
        <f t="shared" si="3"/>
        <v>2.5398860752753518</v>
      </c>
      <c r="AJ5" s="6">
        <f t="shared" si="4"/>
        <v>7.6272855113373936E-2</v>
      </c>
    </row>
    <row r="6" spans="1:37" x14ac:dyDescent="0.2">
      <c r="A6" t="s">
        <v>37</v>
      </c>
      <c r="B6">
        <v>2018</v>
      </c>
      <c r="C6">
        <f t="shared" si="0"/>
        <v>7</v>
      </c>
      <c r="D6">
        <v>1</v>
      </c>
      <c r="E6">
        <v>2</v>
      </c>
      <c r="F6" t="s">
        <v>39</v>
      </c>
      <c r="L6" s="1"/>
      <c r="AG6" s="6"/>
      <c r="AH6" s="6"/>
      <c r="AI6" s="6"/>
      <c r="AJ6" s="6"/>
    </row>
    <row r="7" spans="1:37" x14ac:dyDescent="0.2">
      <c r="A7" t="s">
        <v>37</v>
      </c>
      <c r="B7">
        <v>2018</v>
      </c>
      <c r="C7">
        <f t="shared" si="0"/>
        <v>7</v>
      </c>
      <c r="D7">
        <v>1</v>
      </c>
      <c r="E7">
        <v>2</v>
      </c>
      <c r="F7" t="s">
        <v>40</v>
      </c>
      <c r="G7">
        <v>100</v>
      </c>
      <c r="H7">
        <v>27</v>
      </c>
      <c r="I7">
        <v>0.27</v>
      </c>
      <c r="K7">
        <v>55.4</v>
      </c>
      <c r="L7" s="1">
        <v>28</v>
      </c>
      <c r="M7">
        <v>4.96</v>
      </c>
      <c r="N7">
        <v>69.8</v>
      </c>
      <c r="O7">
        <f t="shared" ref="O7:O20" si="5">N7-M7</f>
        <v>64.84</v>
      </c>
      <c r="P7">
        <v>44.27</v>
      </c>
      <c r="Q7">
        <f t="shared" ref="Q7:Q20" si="6">P7-M7</f>
        <v>39.31</v>
      </c>
      <c r="R7">
        <f t="shared" ref="R7:R20" si="7">O7-Q7</f>
        <v>25.53</v>
      </c>
      <c r="S7">
        <f t="shared" ref="S7:S20" si="8">((O7-Q7)/O7)*100</f>
        <v>39.373843306600861</v>
      </c>
      <c r="T7">
        <v>28</v>
      </c>
      <c r="U7">
        <v>28.417999999999999</v>
      </c>
      <c r="V7">
        <v>32.786999999999999</v>
      </c>
      <c r="W7">
        <f t="shared" ref="W7:W20" si="9">V7-U7</f>
        <v>4.3689999999999998</v>
      </c>
      <c r="X7">
        <f t="shared" ref="X7:X20" si="10">W7*1000</f>
        <v>4369</v>
      </c>
      <c r="Y7">
        <v>32.396999999999998</v>
      </c>
      <c r="Z7">
        <f t="shared" ref="Z7:Z20" si="11">Y7-U7</f>
        <v>3.9789999999999992</v>
      </c>
      <c r="AA7">
        <f t="shared" ref="AA7:AA20" si="12">Z7*1000</f>
        <v>3978.9999999999991</v>
      </c>
      <c r="AB7">
        <f t="shared" ref="AB7:AB20" si="13">X7-AA7</f>
        <v>390.00000000000091</v>
      </c>
      <c r="AC7">
        <v>0.78573459370935805</v>
      </c>
      <c r="AD7">
        <f>((X7-AA7)/X7)*100</f>
        <v>8.9265278095674283</v>
      </c>
      <c r="AE7">
        <f t="shared" si="1"/>
        <v>6.5945090409704825</v>
      </c>
      <c r="AF7">
        <f>AC7*(AE7/100)</f>
        <v>5.1815338820196302E-2</v>
      </c>
      <c r="AG7" s="6">
        <f t="shared" si="2"/>
        <v>1.7254507827125367</v>
      </c>
      <c r="AH7" s="6">
        <v>33.299999999999997</v>
      </c>
      <c r="AI7" s="6">
        <f t="shared" si="3"/>
        <v>1.7254507827125367</v>
      </c>
      <c r="AJ7" s="6">
        <f t="shared" si="4"/>
        <v>5.1815338820196302E-2</v>
      </c>
      <c r="AK7" t="s">
        <v>42</v>
      </c>
    </row>
    <row r="8" spans="1:37" x14ac:dyDescent="0.2">
      <c r="A8" t="s">
        <v>37</v>
      </c>
      <c r="B8">
        <v>2018</v>
      </c>
      <c r="C8">
        <f t="shared" si="0"/>
        <v>7</v>
      </c>
      <c r="D8">
        <v>1</v>
      </c>
      <c r="E8">
        <v>3</v>
      </c>
      <c r="F8" s="3" t="s">
        <v>41</v>
      </c>
      <c r="G8">
        <v>100</v>
      </c>
      <c r="H8">
        <v>27</v>
      </c>
      <c r="I8">
        <v>0.27</v>
      </c>
      <c r="K8">
        <v>72.099999999999994</v>
      </c>
      <c r="L8" s="1">
        <v>30</v>
      </c>
      <c r="M8">
        <v>5.03</v>
      </c>
      <c r="N8">
        <v>106.82</v>
      </c>
      <c r="O8">
        <f t="shared" si="5"/>
        <v>101.78999999999999</v>
      </c>
      <c r="P8">
        <v>47.38</v>
      </c>
      <c r="Q8">
        <f t="shared" si="6"/>
        <v>42.35</v>
      </c>
      <c r="R8">
        <f t="shared" si="7"/>
        <v>59.439999999999991</v>
      </c>
      <c r="S8">
        <f t="shared" si="8"/>
        <v>58.394734256803218</v>
      </c>
      <c r="T8">
        <v>30</v>
      </c>
      <c r="U8">
        <v>29.242000000000001</v>
      </c>
      <c r="V8">
        <v>32.277000000000001</v>
      </c>
      <c r="W8">
        <f t="shared" si="9"/>
        <v>3.0350000000000001</v>
      </c>
      <c r="X8">
        <f t="shared" si="10"/>
        <v>3035</v>
      </c>
      <c r="Y8">
        <v>31.776</v>
      </c>
      <c r="Z8">
        <f t="shared" si="11"/>
        <v>2.5339999999999989</v>
      </c>
      <c r="AA8">
        <f t="shared" si="12"/>
        <v>2533.9999999999991</v>
      </c>
      <c r="AB8">
        <f t="shared" si="13"/>
        <v>501.00000000000091</v>
      </c>
      <c r="AC8">
        <v>0.9189406814809622</v>
      </c>
      <c r="AD8">
        <f>((X8-AA8)/X8)*100</f>
        <v>16.507413509060985</v>
      </c>
      <c r="AE8">
        <f t="shared" si="1"/>
        <v>9.7405766062603085</v>
      </c>
      <c r="AF8">
        <f>AC8*(AE8/100)</f>
        <v>8.9510121045743657E-2</v>
      </c>
      <c r="AG8" s="6">
        <f t="shared" si="2"/>
        <v>2.9806870308232636</v>
      </c>
      <c r="AH8" s="6">
        <v>33.299999999999997</v>
      </c>
      <c r="AI8" s="6">
        <f t="shared" si="3"/>
        <v>2.9806870308232636</v>
      </c>
      <c r="AJ8" s="6">
        <f t="shared" si="4"/>
        <v>8.9510121045743657E-2</v>
      </c>
    </row>
    <row r="9" spans="1:37" x14ac:dyDescent="0.2">
      <c r="A9" t="s">
        <v>37</v>
      </c>
      <c r="B9">
        <v>2018</v>
      </c>
      <c r="C9">
        <f t="shared" si="0"/>
        <v>7</v>
      </c>
      <c r="D9">
        <v>1</v>
      </c>
      <c r="E9">
        <v>3</v>
      </c>
      <c r="F9" t="s">
        <v>39</v>
      </c>
      <c r="G9">
        <v>100</v>
      </c>
      <c r="H9">
        <v>27</v>
      </c>
      <c r="I9">
        <v>0.27</v>
      </c>
      <c r="K9">
        <v>30</v>
      </c>
      <c r="L9" s="1">
        <v>27</v>
      </c>
      <c r="M9">
        <v>5</v>
      </c>
      <c r="N9">
        <v>36.07</v>
      </c>
      <c r="O9">
        <f t="shared" si="5"/>
        <v>31.07</v>
      </c>
      <c r="P9">
        <v>18.2</v>
      </c>
      <c r="Q9">
        <f t="shared" si="6"/>
        <v>13.2</v>
      </c>
      <c r="R9">
        <f t="shared" si="7"/>
        <v>17.87</v>
      </c>
      <c r="S9">
        <f t="shared" si="8"/>
        <v>57.515288059221113</v>
      </c>
      <c r="T9">
        <v>27</v>
      </c>
      <c r="U9">
        <v>29.591000000000001</v>
      </c>
      <c r="V9">
        <v>33.566000000000003</v>
      </c>
      <c r="W9">
        <f t="shared" si="9"/>
        <v>3.9750000000000014</v>
      </c>
      <c r="X9">
        <f t="shared" si="10"/>
        <v>3975.0000000000014</v>
      </c>
      <c r="Y9">
        <v>32.86</v>
      </c>
      <c r="Z9">
        <f t="shared" si="11"/>
        <v>3.2689999999999984</v>
      </c>
      <c r="AA9">
        <f t="shared" si="12"/>
        <v>3268.9999999999982</v>
      </c>
      <c r="AB9">
        <f t="shared" si="13"/>
        <v>706.00000000000318</v>
      </c>
      <c r="AC9">
        <v>0.70440106584149909</v>
      </c>
      <c r="AD9">
        <f>((X9-AA9)/X9)*100</f>
        <v>17.761006289308252</v>
      </c>
      <c r="AE9">
        <f t="shared" si="1"/>
        <v>10.260817610062924</v>
      </c>
      <c r="AF9">
        <f>AC9*(AE9/100)</f>
        <v>7.2277308609335469E-2</v>
      </c>
      <c r="AG9" s="6">
        <f t="shared" si="2"/>
        <v>2.4068343766908709</v>
      </c>
      <c r="AH9" s="6">
        <v>33.299999999999997</v>
      </c>
      <c r="AI9" s="6">
        <f t="shared" si="3"/>
        <v>2.4068343766908709</v>
      </c>
      <c r="AJ9" s="6">
        <f t="shared" si="4"/>
        <v>7.2277308609335469E-2</v>
      </c>
    </row>
    <row r="10" spans="1:37" x14ac:dyDescent="0.2">
      <c r="A10" t="s">
        <v>37</v>
      </c>
      <c r="B10">
        <v>2018</v>
      </c>
      <c r="C10">
        <f t="shared" si="0"/>
        <v>7</v>
      </c>
      <c r="D10">
        <v>1</v>
      </c>
      <c r="E10">
        <v>3</v>
      </c>
      <c r="F10" t="s">
        <v>40</v>
      </c>
      <c r="G10" s="3">
        <v>100</v>
      </c>
      <c r="H10" s="3">
        <v>30</v>
      </c>
      <c r="I10" s="3">
        <f t="shared" ref="I10:I20" si="14">H10/G10</f>
        <v>0.3</v>
      </c>
      <c r="J10" s="3"/>
      <c r="K10">
        <v>72.099999999999994</v>
      </c>
      <c r="L10" s="1">
        <v>24</v>
      </c>
      <c r="M10">
        <v>5.04</v>
      </c>
      <c r="N10">
        <v>109.07</v>
      </c>
      <c r="O10">
        <f t="shared" si="5"/>
        <v>104.02999999999999</v>
      </c>
      <c r="P10">
        <v>41.13</v>
      </c>
      <c r="Q10">
        <f t="shared" si="6"/>
        <v>36.090000000000003</v>
      </c>
      <c r="R10">
        <f t="shared" si="7"/>
        <v>67.939999999999984</v>
      </c>
      <c r="S10">
        <f t="shared" si="8"/>
        <v>65.308084206478895</v>
      </c>
      <c r="T10">
        <v>24</v>
      </c>
      <c r="U10">
        <v>29.565999999999999</v>
      </c>
      <c r="V10">
        <v>32.936999999999998</v>
      </c>
      <c r="W10">
        <f t="shared" si="9"/>
        <v>3.3709999999999987</v>
      </c>
      <c r="X10">
        <f t="shared" si="10"/>
        <v>3370.9999999999986</v>
      </c>
      <c r="Y10">
        <v>32.131</v>
      </c>
      <c r="Z10">
        <f t="shared" si="11"/>
        <v>2.5650000000000013</v>
      </c>
      <c r="AA10">
        <f t="shared" si="12"/>
        <v>2565.0000000000014</v>
      </c>
      <c r="AB10">
        <f t="shared" si="13"/>
        <v>805.99999999999727</v>
      </c>
      <c r="AC10">
        <v>0.78573459370935805</v>
      </c>
      <c r="AD10">
        <f>((X10-AA10)/X10)*100</f>
        <v>23.90981904479376</v>
      </c>
      <c r="AE10">
        <f t="shared" si="1"/>
        <v>12.812574903589411</v>
      </c>
      <c r="AF10">
        <f>AC10*(AE10/100)</f>
        <v>0.10067283336242543</v>
      </c>
      <c r="AG10" s="6">
        <f t="shared" si="2"/>
        <v>3.3524053509687666</v>
      </c>
      <c r="AH10" s="6">
        <v>33.299999999999997</v>
      </c>
      <c r="AI10" s="6">
        <f t="shared" si="3"/>
        <v>3.3524053509687666</v>
      </c>
      <c r="AJ10" s="6">
        <f t="shared" si="4"/>
        <v>0.10067283336242543</v>
      </c>
    </row>
    <row r="11" spans="1:37" x14ac:dyDescent="0.2">
      <c r="A11" t="s">
        <v>37</v>
      </c>
      <c r="B11">
        <v>2016</v>
      </c>
      <c r="C11">
        <f t="shared" si="0"/>
        <v>9</v>
      </c>
      <c r="D11">
        <v>2</v>
      </c>
      <c r="E11">
        <v>1</v>
      </c>
      <c r="F11" s="3" t="s">
        <v>41</v>
      </c>
      <c r="G11" s="3">
        <v>100</v>
      </c>
      <c r="H11" s="3">
        <v>30</v>
      </c>
      <c r="I11" s="3">
        <f t="shared" si="14"/>
        <v>0.3</v>
      </c>
      <c r="J11" s="3"/>
      <c r="K11">
        <v>30</v>
      </c>
      <c r="L11" s="1">
        <v>17</v>
      </c>
      <c r="M11">
        <v>5.1100000000000003</v>
      </c>
      <c r="N11">
        <v>42.72</v>
      </c>
      <c r="O11">
        <f t="shared" si="5"/>
        <v>37.61</v>
      </c>
      <c r="P11">
        <v>31.37</v>
      </c>
      <c r="Q11">
        <f t="shared" si="6"/>
        <v>26.26</v>
      </c>
      <c r="R11">
        <f t="shared" si="7"/>
        <v>11.349999999999998</v>
      </c>
      <c r="S11">
        <f t="shared" si="8"/>
        <v>30.178144110608873</v>
      </c>
      <c r="T11">
        <v>4</v>
      </c>
      <c r="U11">
        <v>27.8</v>
      </c>
      <c r="V11">
        <v>31.904</v>
      </c>
      <c r="W11">
        <f t="shared" si="9"/>
        <v>4.1039999999999992</v>
      </c>
      <c r="X11">
        <f t="shared" si="10"/>
        <v>4103.9999999999991</v>
      </c>
      <c r="Y11">
        <v>31.706</v>
      </c>
      <c r="Z11">
        <f t="shared" si="11"/>
        <v>3.9059999999999988</v>
      </c>
      <c r="AA11">
        <f t="shared" si="12"/>
        <v>3905.9999999999986</v>
      </c>
      <c r="AB11">
        <f t="shared" si="13"/>
        <v>198.00000000000045</v>
      </c>
      <c r="AC11">
        <v>0.9189406814809622</v>
      </c>
      <c r="AD11">
        <f>((X11-AA11)/X11)*100</f>
        <v>4.8245614035087838</v>
      </c>
      <c r="AE11">
        <f t="shared" si="1"/>
        <v>4.8921929824561454</v>
      </c>
      <c r="AF11">
        <f>AC11*(AE11/100)</f>
        <v>4.4956351532346311E-2</v>
      </c>
      <c r="AG11" s="6">
        <f t="shared" si="2"/>
        <v>1.4970465060271321</v>
      </c>
      <c r="AH11" s="6">
        <v>33.299999999999997</v>
      </c>
      <c r="AI11" s="6">
        <f t="shared" si="3"/>
        <v>1.4970465060271321</v>
      </c>
      <c r="AJ11" s="6">
        <f t="shared" si="4"/>
        <v>4.4956351532346311E-2</v>
      </c>
    </row>
    <row r="12" spans="1:37" x14ac:dyDescent="0.2">
      <c r="A12" t="s">
        <v>37</v>
      </c>
      <c r="B12">
        <v>2016</v>
      </c>
      <c r="C12">
        <f t="shared" si="0"/>
        <v>9</v>
      </c>
      <c r="D12">
        <v>2</v>
      </c>
      <c r="E12">
        <v>1</v>
      </c>
      <c r="F12" t="s">
        <v>39</v>
      </c>
      <c r="L12" s="1"/>
      <c r="AG12" s="6"/>
      <c r="AH12" s="6"/>
      <c r="AI12" s="6"/>
      <c r="AJ12" s="6"/>
    </row>
    <row r="13" spans="1:37" x14ac:dyDescent="0.2">
      <c r="A13" t="s">
        <v>37</v>
      </c>
      <c r="B13">
        <v>2016</v>
      </c>
      <c r="C13">
        <f t="shared" si="0"/>
        <v>9</v>
      </c>
      <c r="D13">
        <v>2</v>
      </c>
      <c r="E13">
        <v>1</v>
      </c>
      <c r="F13" t="s">
        <v>40</v>
      </c>
      <c r="G13" s="3">
        <v>100</v>
      </c>
      <c r="H13" s="3">
        <v>30</v>
      </c>
      <c r="I13" s="3">
        <f t="shared" si="14"/>
        <v>0.3</v>
      </c>
      <c r="J13" s="3"/>
      <c r="K13">
        <v>30</v>
      </c>
      <c r="L13" s="1">
        <v>18</v>
      </c>
      <c r="M13">
        <v>5.07</v>
      </c>
      <c r="N13">
        <v>46.72</v>
      </c>
      <c r="O13">
        <f t="shared" si="5"/>
        <v>41.65</v>
      </c>
      <c r="P13">
        <v>33.200000000000003</v>
      </c>
      <c r="Q13">
        <f t="shared" si="6"/>
        <v>28.130000000000003</v>
      </c>
      <c r="R13">
        <f t="shared" si="7"/>
        <v>13.519999999999996</v>
      </c>
      <c r="S13">
        <f t="shared" si="8"/>
        <v>32.460984393757499</v>
      </c>
      <c r="T13">
        <v>6</v>
      </c>
      <c r="U13">
        <v>30.184000000000001</v>
      </c>
      <c r="V13">
        <v>33.36</v>
      </c>
      <c r="W13">
        <f t="shared" si="9"/>
        <v>3.1759999999999984</v>
      </c>
      <c r="X13">
        <f t="shared" si="10"/>
        <v>3175.9999999999982</v>
      </c>
      <c r="Y13">
        <v>33.176000000000002</v>
      </c>
      <c r="Z13">
        <f t="shared" si="11"/>
        <v>2.9920000000000009</v>
      </c>
      <c r="AA13">
        <f t="shared" si="12"/>
        <v>2992.0000000000009</v>
      </c>
      <c r="AB13">
        <f t="shared" si="13"/>
        <v>183.99999999999727</v>
      </c>
      <c r="AC13">
        <v>0.78573459370935805</v>
      </c>
      <c r="AD13">
        <f t="shared" ref="AD13:AD20" si="15">((X13-AA13)/X13)*100</f>
        <v>5.7934508816120083</v>
      </c>
      <c r="AE13">
        <f t="shared" si="1"/>
        <v>5.2942821158689828</v>
      </c>
      <c r="AF13">
        <f t="shared" ref="AF13:AF20" si="16">AC13*(AE13/100)</f>
        <v>4.1599006072950355E-2</v>
      </c>
      <c r="AG13" s="6">
        <f t="shared" si="2"/>
        <v>1.3852469022292466</v>
      </c>
      <c r="AH13" s="6">
        <v>33.299999999999997</v>
      </c>
      <c r="AI13" s="6">
        <f t="shared" si="3"/>
        <v>1.3852469022292466</v>
      </c>
      <c r="AJ13" s="6">
        <f t="shared" si="4"/>
        <v>4.1599006072950355E-2</v>
      </c>
    </row>
    <row r="14" spans="1:37" x14ac:dyDescent="0.2">
      <c r="A14" t="s">
        <v>37</v>
      </c>
      <c r="B14">
        <v>2016</v>
      </c>
      <c r="C14">
        <f t="shared" si="0"/>
        <v>9</v>
      </c>
      <c r="D14">
        <v>2</v>
      </c>
      <c r="E14">
        <v>2</v>
      </c>
      <c r="F14" s="3" t="s">
        <v>41</v>
      </c>
      <c r="G14">
        <v>50</v>
      </c>
      <c r="H14">
        <v>28</v>
      </c>
      <c r="I14">
        <f t="shared" si="14"/>
        <v>0.56000000000000005</v>
      </c>
      <c r="K14">
        <v>30</v>
      </c>
      <c r="L14" s="1">
        <v>25</v>
      </c>
      <c r="M14">
        <v>5.0199999999999996</v>
      </c>
      <c r="N14">
        <v>52.46</v>
      </c>
      <c r="O14">
        <f t="shared" si="5"/>
        <v>47.44</v>
      </c>
      <c r="P14">
        <v>39.409999999999997</v>
      </c>
      <c r="Q14">
        <f t="shared" si="6"/>
        <v>34.39</v>
      </c>
      <c r="R14">
        <f t="shared" si="7"/>
        <v>13.049999999999997</v>
      </c>
      <c r="S14">
        <f t="shared" si="8"/>
        <v>27.508431703204046</v>
      </c>
      <c r="T14">
        <v>25</v>
      </c>
      <c r="U14">
        <v>26.797999999999998</v>
      </c>
      <c r="V14">
        <v>30.773</v>
      </c>
      <c r="W14">
        <f t="shared" si="9"/>
        <v>3.9750000000000014</v>
      </c>
      <c r="X14">
        <f t="shared" si="10"/>
        <v>3975.0000000000014</v>
      </c>
      <c r="Y14">
        <v>30.59</v>
      </c>
      <c r="Z14">
        <f t="shared" si="11"/>
        <v>3.7920000000000016</v>
      </c>
      <c r="AA14">
        <f t="shared" si="12"/>
        <v>3792.0000000000018</v>
      </c>
      <c r="AB14">
        <f t="shared" si="13"/>
        <v>182.99999999999955</v>
      </c>
      <c r="AC14">
        <v>0.9189406814809622</v>
      </c>
      <c r="AD14">
        <f t="shared" si="15"/>
        <v>4.6037735849056478</v>
      </c>
      <c r="AE14">
        <f t="shared" si="1"/>
        <v>4.8005660377358437</v>
      </c>
      <c r="AF14">
        <f t="shared" si="16"/>
        <v>4.4114354262113388E-2</v>
      </c>
      <c r="AG14" s="6">
        <f t="shared" si="2"/>
        <v>1.4690079969283758</v>
      </c>
      <c r="AH14" s="6">
        <v>33.299999999999997</v>
      </c>
      <c r="AI14" s="6">
        <f t="shared" si="3"/>
        <v>1.4690079969283758</v>
      </c>
      <c r="AJ14" s="6">
        <f t="shared" si="4"/>
        <v>4.4114354262113388E-2</v>
      </c>
    </row>
    <row r="15" spans="1:37" x14ac:dyDescent="0.2">
      <c r="A15" t="s">
        <v>37</v>
      </c>
      <c r="B15">
        <v>2016</v>
      </c>
      <c r="C15">
        <f t="shared" si="0"/>
        <v>9</v>
      </c>
      <c r="D15">
        <v>2</v>
      </c>
      <c r="E15">
        <v>2</v>
      </c>
      <c r="F15" t="s">
        <v>39</v>
      </c>
      <c r="G15">
        <v>50</v>
      </c>
      <c r="H15">
        <v>28</v>
      </c>
      <c r="I15">
        <f t="shared" si="14"/>
        <v>0.56000000000000005</v>
      </c>
      <c r="K15">
        <v>55.4</v>
      </c>
      <c r="L15" s="1">
        <v>33</v>
      </c>
      <c r="M15">
        <v>4.99</v>
      </c>
      <c r="N15">
        <v>84.92</v>
      </c>
      <c r="O15">
        <f t="shared" si="5"/>
        <v>79.930000000000007</v>
      </c>
      <c r="P15">
        <v>36.33</v>
      </c>
      <c r="Q15">
        <f t="shared" si="6"/>
        <v>31.339999999999996</v>
      </c>
      <c r="R15">
        <f t="shared" si="7"/>
        <v>48.590000000000011</v>
      </c>
      <c r="S15">
        <f t="shared" si="8"/>
        <v>60.79069185537346</v>
      </c>
      <c r="T15">
        <v>33</v>
      </c>
      <c r="U15">
        <v>29.571999999999999</v>
      </c>
      <c r="V15">
        <v>32.755000000000003</v>
      </c>
      <c r="W15">
        <f t="shared" si="9"/>
        <v>3.1830000000000034</v>
      </c>
      <c r="X15">
        <f t="shared" si="10"/>
        <v>3183.0000000000032</v>
      </c>
      <c r="Y15">
        <v>32.076000000000001</v>
      </c>
      <c r="Z15">
        <f t="shared" si="11"/>
        <v>2.5040000000000013</v>
      </c>
      <c r="AA15">
        <f t="shared" si="12"/>
        <v>2504.0000000000014</v>
      </c>
      <c r="AB15">
        <f>X15-AA15</f>
        <v>679.00000000000182</v>
      </c>
      <c r="AC15">
        <v>0.70440106584149909</v>
      </c>
      <c r="AD15">
        <f t="shared" si="15"/>
        <v>21.332076657241632</v>
      </c>
      <c r="AE15">
        <f t="shared" si="1"/>
        <v>11.742811812755278</v>
      </c>
      <c r="AF15">
        <f t="shared" si="16"/>
        <v>8.2716491568809627E-2</v>
      </c>
      <c r="AG15" s="6">
        <f t="shared" si="2"/>
        <v>2.7544591692413603</v>
      </c>
      <c r="AH15" s="6">
        <v>33.299999999999997</v>
      </c>
      <c r="AI15" s="6">
        <f t="shared" si="3"/>
        <v>2.7544591692413603</v>
      </c>
      <c r="AJ15" s="6">
        <f t="shared" si="4"/>
        <v>8.2716491568809627E-2</v>
      </c>
    </row>
    <row r="16" spans="1:37" x14ac:dyDescent="0.2">
      <c r="A16" t="s">
        <v>37</v>
      </c>
      <c r="B16">
        <v>2016</v>
      </c>
      <c r="C16">
        <f t="shared" si="0"/>
        <v>9</v>
      </c>
      <c r="D16">
        <v>2</v>
      </c>
      <c r="E16">
        <v>2</v>
      </c>
      <c r="F16" t="s">
        <v>40</v>
      </c>
      <c r="G16">
        <v>50</v>
      </c>
      <c r="H16">
        <v>28</v>
      </c>
      <c r="I16">
        <f t="shared" si="14"/>
        <v>0.56000000000000005</v>
      </c>
      <c r="K16">
        <v>30</v>
      </c>
      <c r="L16" s="1">
        <v>23</v>
      </c>
      <c r="M16">
        <v>5.1100000000000003</v>
      </c>
      <c r="N16">
        <v>52.15</v>
      </c>
      <c r="O16">
        <f t="shared" si="5"/>
        <v>47.04</v>
      </c>
      <c r="P16">
        <v>35.83</v>
      </c>
      <c r="Q16">
        <f t="shared" si="6"/>
        <v>30.72</v>
      </c>
      <c r="R16">
        <f t="shared" si="7"/>
        <v>16.32</v>
      </c>
      <c r="S16">
        <f t="shared" si="8"/>
        <v>34.693877551020407</v>
      </c>
      <c r="T16">
        <v>23</v>
      </c>
      <c r="U16">
        <v>28.367999999999999</v>
      </c>
      <c r="V16">
        <v>32.122999999999998</v>
      </c>
      <c r="W16">
        <f t="shared" si="9"/>
        <v>3.754999999999999</v>
      </c>
      <c r="X16">
        <f t="shared" si="10"/>
        <v>3754.9999999999991</v>
      </c>
      <c r="Y16">
        <v>31.834</v>
      </c>
      <c r="Z16">
        <f t="shared" si="11"/>
        <v>3.4660000000000011</v>
      </c>
      <c r="AA16">
        <f t="shared" si="12"/>
        <v>3466.0000000000009</v>
      </c>
      <c r="AB16">
        <f t="shared" si="13"/>
        <v>288.99999999999818</v>
      </c>
      <c r="AC16">
        <v>0.78573459370935805</v>
      </c>
      <c r="AD16">
        <f t="shared" si="15"/>
        <v>7.6964047936084761</v>
      </c>
      <c r="AE16">
        <f t="shared" si="1"/>
        <v>6.0840079893475174</v>
      </c>
      <c r="AF16">
        <f t="shared" si="16"/>
        <v>4.7804155456344602E-2</v>
      </c>
      <c r="AG16" s="6">
        <f t="shared" si="2"/>
        <v>1.5918783766962752</v>
      </c>
      <c r="AH16" s="6">
        <v>33.299999999999997</v>
      </c>
      <c r="AI16" s="6">
        <f t="shared" si="3"/>
        <v>1.5918783766962752</v>
      </c>
      <c r="AJ16" s="6">
        <f t="shared" si="4"/>
        <v>4.7804155456344602E-2</v>
      </c>
    </row>
    <row r="17" spans="1:36" x14ac:dyDescent="0.2">
      <c r="A17" t="s">
        <v>37</v>
      </c>
      <c r="B17">
        <v>2016</v>
      </c>
      <c r="C17">
        <f t="shared" si="0"/>
        <v>9</v>
      </c>
      <c r="D17">
        <v>2</v>
      </c>
      <c r="E17">
        <v>3</v>
      </c>
      <c r="F17" t="s">
        <v>41</v>
      </c>
      <c r="G17">
        <v>100</v>
      </c>
      <c r="H17">
        <v>30</v>
      </c>
      <c r="I17">
        <f t="shared" si="14"/>
        <v>0.3</v>
      </c>
      <c r="K17">
        <v>30</v>
      </c>
      <c r="L17" s="1">
        <v>8</v>
      </c>
      <c r="M17">
        <v>5.17</v>
      </c>
      <c r="N17">
        <v>49.43</v>
      </c>
      <c r="O17">
        <f t="shared" si="5"/>
        <v>44.26</v>
      </c>
      <c r="P17">
        <v>38.299999999999997</v>
      </c>
      <c r="Q17">
        <f t="shared" si="6"/>
        <v>33.129999999999995</v>
      </c>
      <c r="R17">
        <f t="shared" si="7"/>
        <v>11.130000000000003</v>
      </c>
      <c r="S17">
        <f t="shared" si="8"/>
        <v>25.146859466787173</v>
      </c>
      <c r="T17">
        <v>8</v>
      </c>
      <c r="U17">
        <v>27.364000000000001</v>
      </c>
      <c r="V17">
        <v>30.826000000000001</v>
      </c>
      <c r="W17">
        <f t="shared" si="9"/>
        <v>3.4619999999999997</v>
      </c>
      <c r="X17">
        <f t="shared" si="10"/>
        <v>3461.9999999999995</v>
      </c>
      <c r="Y17">
        <v>30.695</v>
      </c>
      <c r="Z17">
        <f t="shared" si="11"/>
        <v>3.3309999999999995</v>
      </c>
      <c r="AA17">
        <f t="shared" si="12"/>
        <v>3330.9999999999995</v>
      </c>
      <c r="AB17">
        <f t="shared" si="13"/>
        <v>131</v>
      </c>
      <c r="AC17">
        <v>0.9189406814809622</v>
      </c>
      <c r="AD17">
        <f t="shared" si="15"/>
        <v>3.7839399191218952</v>
      </c>
      <c r="AE17">
        <f t="shared" si="1"/>
        <v>4.4603350664355865</v>
      </c>
      <c r="AF17">
        <f t="shared" si="16"/>
        <v>4.0987833455837501E-2</v>
      </c>
      <c r="AG17" s="6">
        <f t="shared" si="2"/>
        <v>1.3648948540793886</v>
      </c>
      <c r="AH17" s="6">
        <v>33.299999999999997</v>
      </c>
      <c r="AI17" s="6">
        <f t="shared" si="3"/>
        <v>1.3648948540793886</v>
      </c>
      <c r="AJ17" s="6">
        <f t="shared" si="4"/>
        <v>4.0987833455837501E-2</v>
      </c>
    </row>
    <row r="18" spans="1:36" x14ac:dyDescent="0.2">
      <c r="A18" t="s">
        <v>37</v>
      </c>
      <c r="B18">
        <v>2016</v>
      </c>
      <c r="C18">
        <f t="shared" si="0"/>
        <v>9</v>
      </c>
      <c r="D18">
        <v>2</v>
      </c>
      <c r="E18">
        <v>3</v>
      </c>
      <c r="F18" t="s">
        <v>39</v>
      </c>
      <c r="G18">
        <v>100</v>
      </c>
      <c r="H18">
        <v>30</v>
      </c>
      <c r="I18">
        <f t="shared" si="14"/>
        <v>0.3</v>
      </c>
      <c r="K18">
        <v>30</v>
      </c>
      <c r="L18" s="1">
        <v>12</v>
      </c>
      <c r="M18">
        <v>5.13</v>
      </c>
      <c r="N18">
        <v>49.95</v>
      </c>
      <c r="O18">
        <f t="shared" si="5"/>
        <v>44.82</v>
      </c>
      <c r="P18">
        <v>37.15</v>
      </c>
      <c r="Q18">
        <f t="shared" si="6"/>
        <v>32.019999999999996</v>
      </c>
      <c r="R18">
        <f t="shared" si="7"/>
        <v>12.800000000000004</v>
      </c>
      <c r="S18">
        <f t="shared" si="8"/>
        <v>28.558679161088808</v>
      </c>
      <c r="T18">
        <v>12</v>
      </c>
      <c r="U18">
        <v>29.442</v>
      </c>
      <c r="V18">
        <v>33.572000000000003</v>
      </c>
      <c r="W18">
        <f t="shared" si="9"/>
        <v>4.1300000000000026</v>
      </c>
      <c r="X18">
        <f t="shared" si="10"/>
        <v>4130.0000000000027</v>
      </c>
      <c r="Y18">
        <v>33.392000000000003</v>
      </c>
      <c r="Z18">
        <f t="shared" si="11"/>
        <v>3.9500000000000028</v>
      </c>
      <c r="AA18">
        <f t="shared" si="12"/>
        <v>3950.0000000000027</v>
      </c>
      <c r="AB18">
        <f t="shared" si="13"/>
        <v>180</v>
      </c>
      <c r="AC18">
        <v>0.70440106584149909</v>
      </c>
      <c r="AD18">
        <f t="shared" si="15"/>
        <v>4.3583535108958804</v>
      </c>
      <c r="AE18">
        <f t="shared" si="1"/>
        <v>4.6987167070217906</v>
      </c>
      <c r="AF18">
        <f t="shared" si="16"/>
        <v>3.3097810565134077E-2</v>
      </c>
      <c r="AG18" s="6">
        <f t="shared" si="2"/>
        <v>1.1021570918189647</v>
      </c>
      <c r="AH18" s="6">
        <v>33.299999999999997</v>
      </c>
      <c r="AI18" s="6">
        <f t="shared" si="3"/>
        <v>1.1021570918189647</v>
      </c>
      <c r="AJ18" s="6">
        <f t="shared" si="4"/>
        <v>3.3097810565134077E-2</v>
      </c>
    </row>
    <row r="19" spans="1:36" x14ac:dyDescent="0.2">
      <c r="A19" t="s">
        <v>37</v>
      </c>
      <c r="B19">
        <v>2016</v>
      </c>
      <c r="C19">
        <f t="shared" si="0"/>
        <v>9</v>
      </c>
      <c r="D19">
        <v>2</v>
      </c>
      <c r="E19">
        <v>3</v>
      </c>
      <c r="F19" t="s">
        <v>40</v>
      </c>
      <c r="G19">
        <v>100</v>
      </c>
      <c r="H19">
        <v>30</v>
      </c>
      <c r="I19">
        <f t="shared" si="14"/>
        <v>0.3</v>
      </c>
      <c r="K19">
        <v>30</v>
      </c>
      <c r="L19" s="1">
        <v>11</v>
      </c>
      <c r="M19">
        <v>5.14</v>
      </c>
      <c r="N19">
        <v>41.1</v>
      </c>
      <c r="O19">
        <f t="shared" si="5"/>
        <v>35.96</v>
      </c>
      <c r="P19">
        <v>23.24</v>
      </c>
      <c r="Q19">
        <f t="shared" si="6"/>
        <v>18.099999999999998</v>
      </c>
      <c r="R19">
        <f t="shared" si="7"/>
        <v>17.860000000000003</v>
      </c>
      <c r="S19">
        <f t="shared" si="8"/>
        <v>49.666295884315915</v>
      </c>
      <c r="T19">
        <v>11</v>
      </c>
      <c r="U19">
        <v>27.460999999999999</v>
      </c>
      <c r="V19">
        <v>31.6</v>
      </c>
      <c r="W19">
        <f t="shared" si="9"/>
        <v>4.1390000000000029</v>
      </c>
      <c r="X19">
        <f t="shared" si="10"/>
        <v>4139.0000000000027</v>
      </c>
      <c r="Y19">
        <v>31.085999999999999</v>
      </c>
      <c r="Z19">
        <f t="shared" si="11"/>
        <v>3.625</v>
      </c>
      <c r="AA19">
        <f t="shared" si="12"/>
        <v>3625</v>
      </c>
      <c r="AB19">
        <f t="shared" si="13"/>
        <v>514.00000000000273</v>
      </c>
      <c r="AC19">
        <v>0.78573459370935805</v>
      </c>
      <c r="AD19">
        <f t="shared" si="15"/>
        <v>12.418458564870798</v>
      </c>
      <c r="AE19">
        <f t="shared" si="1"/>
        <v>8.0436603044213815</v>
      </c>
      <c r="AF19">
        <f t="shared" si="16"/>
        <v>6.3201821612306253E-2</v>
      </c>
      <c r="AG19" s="6">
        <f t="shared" si="2"/>
        <v>2.1046206596897981</v>
      </c>
      <c r="AH19" s="6">
        <v>33.299999999999997</v>
      </c>
      <c r="AI19" s="6">
        <f t="shared" si="3"/>
        <v>2.1046206596897981</v>
      </c>
      <c r="AJ19" s="6">
        <f>AI19/AH19</f>
        <v>6.3201821612306253E-2</v>
      </c>
    </row>
    <row r="20" spans="1:36" x14ac:dyDescent="0.2">
      <c r="A20" t="s">
        <v>37</v>
      </c>
      <c r="B20">
        <v>2022</v>
      </c>
      <c r="C20">
        <f t="shared" si="0"/>
        <v>3</v>
      </c>
      <c r="D20">
        <v>3</v>
      </c>
      <c r="E20">
        <v>1</v>
      </c>
      <c r="F20" s="3" t="s">
        <v>41</v>
      </c>
      <c r="G20">
        <v>100</v>
      </c>
      <c r="H20">
        <v>40</v>
      </c>
      <c r="I20">
        <f t="shared" si="14"/>
        <v>0.4</v>
      </c>
      <c r="K20">
        <v>30</v>
      </c>
      <c r="L20" s="1">
        <v>16</v>
      </c>
      <c r="M20">
        <v>5.09</v>
      </c>
      <c r="N20">
        <v>50.03</v>
      </c>
      <c r="O20">
        <f t="shared" si="5"/>
        <v>44.94</v>
      </c>
      <c r="P20">
        <v>36.53</v>
      </c>
      <c r="Q20">
        <f t="shared" si="6"/>
        <v>31.44</v>
      </c>
      <c r="R20">
        <f t="shared" si="7"/>
        <v>13.499999999999996</v>
      </c>
      <c r="S20">
        <f t="shared" si="8"/>
        <v>30.040053404539378</v>
      </c>
      <c r="T20">
        <v>16</v>
      </c>
      <c r="U20">
        <v>28.471</v>
      </c>
      <c r="V20">
        <v>31.635000000000002</v>
      </c>
      <c r="W20">
        <f t="shared" si="9"/>
        <v>3.1640000000000015</v>
      </c>
      <c r="X20">
        <f t="shared" si="10"/>
        <v>3164.0000000000014</v>
      </c>
      <c r="Y20">
        <v>31.495000000000001</v>
      </c>
      <c r="Z20">
        <f t="shared" si="11"/>
        <v>3.0240000000000009</v>
      </c>
      <c r="AA20">
        <f t="shared" si="12"/>
        <v>3024.0000000000009</v>
      </c>
      <c r="AB20">
        <f t="shared" si="13"/>
        <v>140.00000000000045</v>
      </c>
      <c r="AC20">
        <v>0.9189406814809622</v>
      </c>
      <c r="AD20">
        <f t="shared" si="15"/>
        <v>4.4247787610619591</v>
      </c>
      <c r="AE20">
        <f t="shared" si="1"/>
        <v>4.7262831858407131</v>
      </c>
      <c r="AF20">
        <f t="shared" si="16"/>
        <v>4.3431738916684774E-2</v>
      </c>
      <c r="AG20" s="6">
        <f t="shared" si="2"/>
        <v>1.4462769059256029</v>
      </c>
      <c r="AH20" s="6">
        <v>33.299999999999997</v>
      </c>
      <c r="AI20" s="6">
        <f t="shared" si="3"/>
        <v>1.4462769059256029</v>
      </c>
      <c r="AJ20" s="6">
        <f t="shared" ref="AJ20:AJ28" si="17">AI20/AH20</f>
        <v>4.3431738916684774E-2</v>
      </c>
    </row>
    <row r="21" spans="1:36" x14ac:dyDescent="0.2">
      <c r="A21" t="s">
        <v>37</v>
      </c>
      <c r="B21">
        <v>2022</v>
      </c>
      <c r="C21">
        <f t="shared" si="0"/>
        <v>3</v>
      </c>
      <c r="D21">
        <v>3</v>
      </c>
      <c r="E21">
        <v>1</v>
      </c>
      <c r="F21" t="s">
        <v>39</v>
      </c>
      <c r="L21" s="1"/>
      <c r="AG21" s="6"/>
      <c r="AH21" s="6"/>
      <c r="AI21" s="6"/>
      <c r="AJ21" s="6"/>
    </row>
    <row r="22" spans="1:36" x14ac:dyDescent="0.2">
      <c r="A22" t="s">
        <v>37</v>
      </c>
      <c r="B22">
        <v>2022</v>
      </c>
      <c r="C22">
        <f t="shared" si="0"/>
        <v>3</v>
      </c>
      <c r="D22">
        <v>3</v>
      </c>
      <c r="E22">
        <v>1</v>
      </c>
      <c r="F22" t="s">
        <v>40</v>
      </c>
      <c r="G22">
        <v>100</v>
      </c>
      <c r="H22">
        <v>40</v>
      </c>
      <c r="I22">
        <f t="shared" ref="I22:I28" si="18">H22/G22</f>
        <v>0.4</v>
      </c>
      <c r="K22">
        <v>30</v>
      </c>
      <c r="L22" s="1">
        <v>20</v>
      </c>
      <c r="M22">
        <v>5.0999999999999996</v>
      </c>
      <c r="N22">
        <v>50.57</v>
      </c>
      <c r="O22">
        <f t="shared" ref="O22:O28" si="19">N22-M22</f>
        <v>45.47</v>
      </c>
      <c r="P22">
        <v>33.85</v>
      </c>
      <c r="Q22">
        <f t="shared" ref="Q22:Q28" si="20">P22-M22</f>
        <v>28.75</v>
      </c>
      <c r="R22">
        <f t="shared" ref="R22:R28" si="21">O22-Q22</f>
        <v>16.72</v>
      </c>
      <c r="S22">
        <f t="shared" ref="S22:S28" si="22">((O22-Q22)/O22)*100</f>
        <v>36.771497690785132</v>
      </c>
      <c r="T22">
        <v>20</v>
      </c>
      <c r="U22">
        <v>28.547000000000001</v>
      </c>
      <c r="V22">
        <v>32.195</v>
      </c>
      <c r="W22">
        <f t="shared" ref="W22:W28" si="23">V22-U22</f>
        <v>3.6479999999999997</v>
      </c>
      <c r="X22">
        <f t="shared" ref="X22:X28" si="24">W22*1000</f>
        <v>3647.9999999999995</v>
      </c>
      <c r="Y22">
        <v>31.957000000000001</v>
      </c>
      <c r="Z22">
        <f t="shared" ref="Z22:Z28" si="25">Y22-U22</f>
        <v>3.41</v>
      </c>
      <c r="AA22">
        <f t="shared" ref="AA22:AA28" si="26">Z22*1000</f>
        <v>3410</v>
      </c>
      <c r="AB22">
        <f t="shared" ref="AB22:AB28" si="27">X22-AA22</f>
        <v>237.99999999999955</v>
      </c>
      <c r="AC22">
        <v>0.78573459370935805</v>
      </c>
      <c r="AD22">
        <f t="shared" ref="AD22:AD28" si="28">((X22-AA22)/X22)*100</f>
        <v>6.5241228070175321</v>
      </c>
      <c r="AE22">
        <f t="shared" si="1"/>
        <v>5.5975109649122761</v>
      </c>
      <c r="AF22">
        <f t="shared" ref="AF22:AF53" si="29">AC22*(AE22/100)</f>
        <v>4.3981580037990235E-2</v>
      </c>
      <c r="AG22" s="6">
        <f t="shared" si="2"/>
        <v>1.4645866152650746</v>
      </c>
      <c r="AH22" s="6">
        <v>33.299999999999997</v>
      </c>
      <c r="AI22" s="6">
        <f t="shared" si="3"/>
        <v>1.4645866152650746</v>
      </c>
      <c r="AJ22" s="6">
        <f t="shared" si="17"/>
        <v>4.3981580037990235E-2</v>
      </c>
    </row>
    <row r="23" spans="1:36" x14ac:dyDescent="0.2">
      <c r="A23" t="s">
        <v>37</v>
      </c>
      <c r="B23">
        <v>2022</v>
      </c>
      <c r="C23">
        <f t="shared" si="0"/>
        <v>3</v>
      </c>
      <c r="D23">
        <v>3</v>
      </c>
      <c r="E23">
        <v>2</v>
      </c>
      <c r="F23" s="3" t="s">
        <v>41</v>
      </c>
      <c r="G23">
        <v>100</v>
      </c>
      <c r="H23">
        <v>40</v>
      </c>
      <c r="I23">
        <f t="shared" si="18"/>
        <v>0.4</v>
      </c>
      <c r="K23">
        <v>55.4</v>
      </c>
      <c r="L23" s="1">
        <v>32</v>
      </c>
      <c r="M23">
        <v>5</v>
      </c>
      <c r="N23">
        <v>93.98</v>
      </c>
      <c r="O23">
        <f t="shared" si="19"/>
        <v>88.98</v>
      </c>
      <c r="P23">
        <v>67.13</v>
      </c>
      <c r="Q23">
        <f t="shared" si="20"/>
        <v>62.129999999999995</v>
      </c>
      <c r="R23">
        <f t="shared" si="21"/>
        <v>26.850000000000009</v>
      </c>
      <c r="S23">
        <f t="shared" si="22"/>
        <v>30.175320296695894</v>
      </c>
      <c r="T23">
        <v>32</v>
      </c>
      <c r="U23">
        <v>27.739000000000001</v>
      </c>
      <c r="V23">
        <v>31.704000000000001</v>
      </c>
      <c r="W23">
        <f t="shared" si="23"/>
        <v>3.9649999999999999</v>
      </c>
      <c r="X23">
        <f t="shared" si="24"/>
        <v>3965</v>
      </c>
      <c r="Y23">
        <v>31.52</v>
      </c>
      <c r="Z23">
        <f t="shared" si="25"/>
        <v>3.7809999999999988</v>
      </c>
      <c r="AA23">
        <f t="shared" si="26"/>
        <v>3780.9999999999986</v>
      </c>
      <c r="AB23">
        <f t="shared" si="27"/>
        <v>184.00000000000136</v>
      </c>
      <c r="AC23">
        <v>0.9189406814809622</v>
      </c>
      <c r="AD23">
        <f t="shared" si="28"/>
        <v>4.6406052963430362</v>
      </c>
      <c r="AE23">
        <f t="shared" si="1"/>
        <v>4.8158511979823597</v>
      </c>
      <c r="AF23">
        <f t="shared" si="29"/>
        <v>4.4254815817848181E-2</v>
      </c>
      <c r="AG23" s="6">
        <f t="shared" si="2"/>
        <v>1.4736853667343444</v>
      </c>
      <c r="AH23" s="6">
        <v>33.299999999999997</v>
      </c>
      <c r="AI23" s="6">
        <f t="shared" si="3"/>
        <v>1.4736853667343444</v>
      </c>
      <c r="AJ23" s="6">
        <f t="shared" si="17"/>
        <v>4.4254815817848181E-2</v>
      </c>
    </row>
    <row r="24" spans="1:36" x14ac:dyDescent="0.2">
      <c r="A24" t="s">
        <v>37</v>
      </c>
      <c r="B24">
        <v>2022</v>
      </c>
      <c r="C24">
        <f t="shared" si="0"/>
        <v>3</v>
      </c>
      <c r="D24">
        <v>3</v>
      </c>
      <c r="E24">
        <v>2</v>
      </c>
      <c r="F24" t="s">
        <v>39</v>
      </c>
      <c r="G24">
        <v>100</v>
      </c>
      <c r="H24">
        <v>40</v>
      </c>
      <c r="I24">
        <f t="shared" si="18"/>
        <v>0.4</v>
      </c>
      <c r="K24">
        <v>30</v>
      </c>
      <c r="L24" s="1">
        <v>13</v>
      </c>
      <c r="M24">
        <v>5.14</v>
      </c>
      <c r="N24">
        <v>43.77</v>
      </c>
      <c r="O24">
        <f t="shared" si="19"/>
        <v>38.630000000000003</v>
      </c>
      <c r="P24">
        <v>26.79</v>
      </c>
      <c r="Q24">
        <f t="shared" si="20"/>
        <v>21.65</v>
      </c>
      <c r="R24">
        <f t="shared" si="21"/>
        <v>16.980000000000004</v>
      </c>
      <c r="S24">
        <f t="shared" si="22"/>
        <v>43.955475019414969</v>
      </c>
      <c r="T24">
        <v>13</v>
      </c>
      <c r="U24">
        <v>22.212</v>
      </c>
      <c r="V24">
        <v>25.902999999999999</v>
      </c>
      <c r="W24">
        <f t="shared" si="23"/>
        <v>3.6909999999999989</v>
      </c>
      <c r="X24">
        <f t="shared" si="24"/>
        <v>3690.9999999999991</v>
      </c>
      <c r="Y24">
        <v>25.577999999999999</v>
      </c>
      <c r="Z24">
        <f t="shared" si="25"/>
        <v>3.3659999999999997</v>
      </c>
      <c r="AA24">
        <f t="shared" si="26"/>
        <v>3365.9999999999995</v>
      </c>
      <c r="AB24">
        <f t="shared" si="27"/>
        <v>324.99999999999955</v>
      </c>
      <c r="AC24">
        <v>0.70440106584149909</v>
      </c>
      <c r="AD24">
        <f t="shared" si="28"/>
        <v>8.8052018423191445</v>
      </c>
      <c r="AE24">
        <f t="shared" si="1"/>
        <v>6.5441587645624448</v>
      </c>
      <c r="AF24">
        <f t="shared" si="29"/>
        <v>4.6097124087937744E-2</v>
      </c>
      <c r="AG24" s="6">
        <f t="shared" si="2"/>
        <v>1.5350342321283268</v>
      </c>
      <c r="AH24" s="6">
        <v>33.299999999999997</v>
      </c>
      <c r="AI24" s="6">
        <f t="shared" si="3"/>
        <v>1.5350342321283268</v>
      </c>
      <c r="AJ24" s="6">
        <f t="shared" si="17"/>
        <v>4.6097124087937744E-2</v>
      </c>
    </row>
    <row r="25" spans="1:36" x14ac:dyDescent="0.2">
      <c r="A25" t="s">
        <v>37</v>
      </c>
      <c r="B25">
        <v>2022</v>
      </c>
      <c r="C25">
        <f t="shared" si="0"/>
        <v>3</v>
      </c>
      <c r="D25">
        <v>3</v>
      </c>
      <c r="E25">
        <v>2</v>
      </c>
      <c r="F25" t="s">
        <v>40</v>
      </c>
      <c r="G25">
        <v>100</v>
      </c>
      <c r="H25">
        <v>40</v>
      </c>
      <c r="I25">
        <f t="shared" si="18"/>
        <v>0.4</v>
      </c>
      <c r="K25">
        <v>55.4</v>
      </c>
      <c r="L25" s="1">
        <v>29</v>
      </c>
      <c r="M25">
        <v>5.03</v>
      </c>
      <c r="N25">
        <v>96.59</v>
      </c>
      <c r="O25">
        <f t="shared" si="19"/>
        <v>91.56</v>
      </c>
      <c r="P25">
        <v>59.7</v>
      </c>
      <c r="Q25">
        <f t="shared" si="20"/>
        <v>54.67</v>
      </c>
      <c r="R25">
        <f t="shared" si="21"/>
        <v>36.89</v>
      </c>
      <c r="S25">
        <f t="shared" si="22"/>
        <v>40.290519877675841</v>
      </c>
      <c r="T25">
        <v>29</v>
      </c>
      <c r="U25">
        <v>28.353000000000002</v>
      </c>
      <c r="V25">
        <v>32.344000000000001</v>
      </c>
      <c r="W25">
        <f t="shared" si="23"/>
        <v>3.9909999999999997</v>
      </c>
      <c r="X25">
        <f t="shared" si="24"/>
        <v>3990.9999999999995</v>
      </c>
      <c r="Y25">
        <v>31.986000000000001</v>
      </c>
      <c r="Z25">
        <f t="shared" si="25"/>
        <v>3.6329999999999991</v>
      </c>
      <c r="AA25">
        <f t="shared" si="26"/>
        <v>3632.9999999999991</v>
      </c>
      <c r="AB25">
        <f t="shared" si="27"/>
        <v>358.00000000000045</v>
      </c>
      <c r="AC25">
        <v>0.78573459370935805</v>
      </c>
      <c r="AD25">
        <f t="shared" si="28"/>
        <v>8.9701829115510012</v>
      </c>
      <c r="AE25">
        <f t="shared" si="1"/>
        <v>6.6126259082936656</v>
      </c>
      <c r="AF25">
        <f t="shared" si="29"/>
        <v>5.1957689314050974E-2</v>
      </c>
      <c r="AG25" s="6">
        <f t="shared" si="2"/>
        <v>1.7301910541578973</v>
      </c>
      <c r="AH25" s="6">
        <v>33.299999999999997</v>
      </c>
      <c r="AI25" s="6">
        <f t="shared" si="3"/>
        <v>1.7301910541578973</v>
      </c>
      <c r="AJ25" s="6">
        <f t="shared" si="17"/>
        <v>5.1957689314050974E-2</v>
      </c>
    </row>
    <row r="26" spans="1:36" x14ac:dyDescent="0.2">
      <c r="A26" t="s">
        <v>37</v>
      </c>
      <c r="B26">
        <v>2022</v>
      </c>
      <c r="C26">
        <f t="shared" si="0"/>
        <v>3</v>
      </c>
      <c r="D26">
        <v>3</v>
      </c>
      <c r="E26">
        <v>3</v>
      </c>
      <c r="F26" s="3" t="s">
        <v>41</v>
      </c>
      <c r="G26">
        <v>100</v>
      </c>
      <c r="H26">
        <v>40</v>
      </c>
      <c r="I26">
        <f t="shared" si="18"/>
        <v>0.4</v>
      </c>
      <c r="K26">
        <v>30</v>
      </c>
      <c r="L26" s="1">
        <v>22</v>
      </c>
      <c r="M26">
        <v>5.04</v>
      </c>
      <c r="N26">
        <v>46.38</v>
      </c>
      <c r="O26">
        <f t="shared" si="19"/>
        <v>41.34</v>
      </c>
      <c r="P26">
        <v>31.76</v>
      </c>
      <c r="Q26">
        <f t="shared" si="20"/>
        <v>26.720000000000002</v>
      </c>
      <c r="R26">
        <f t="shared" si="21"/>
        <v>14.620000000000001</v>
      </c>
      <c r="S26">
        <f t="shared" si="22"/>
        <v>35.365263667150458</v>
      </c>
      <c r="T26">
        <v>22</v>
      </c>
      <c r="U26">
        <v>28.484999999999999</v>
      </c>
      <c r="V26">
        <v>31.972999999999999</v>
      </c>
      <c r="W26">
        <f t="shared" si="23"/>
        <v>3.4879999999999995</v>
      </c>
      <c r="X26">
        <f t="shared" si="24"/>
        <v>3487.9999999999995</v>
      </c>
      <c r="Y26">
        <v>31.742000000000001</v>
      </c>
      <c r="Z26">
        <f t="shared" si="25"/>
        <v>3.2570000000000014</v>
      </c>
      <c r="AA26">
        <f t="shared" si="26"/>
        <v>3257.0000000000014</v>
      </c>
      <c r="AB26">
        <f t="shared" si="27"/>
        <v>230.99999999999818</v>
      </c>
      <c r="AC26">
        <v>0.9189406814809622</v>
      </c>
      <c r="AD26">
        <f t="shared" si="28"/>
        <v>6.6227064220182967</v>
      </c>
      <c r="AE26">
        <f t="shared" si="1"/>
        <v>5.6384231651375938</v>
      </c>
      <c r="AF26">
        <f t="shared" si="29"/>
        <v>5.1813764258495841E-2</v>
      </c>
      <c r="AG26" s="6">
        <f t="shared" si="2"/>
        <v>1.7253983498079113</v>
      </c>
      <c r="AH26" s="6">
        <v>33.299999999999997</v>
      </c>
      <c r="AI26" s="6">
        <f t="shared" si="3"/>
        <v>1.7253983498079113</v>
      </c>
      <c r="AJ26" s="6">
        <f t="shared" si="17"/>
        <v>5.1813764258495841E-2</v>
      </c>
    </row>
    <row r="27" spans="1:36" x14ac:dyDescent="0.2">
      <c r="A27" t="s">
        <v>37</v>
      </c>
      <c r="B27">
        <v>2022</v>
      </c>
      <c r="C27">
        <f t="shared" si="0"/>
        <v>3</v>
      </c>
      <c r="D27">
        <v>3</v>
      </c>
      <c r="E27">
        <v>3</v>
      </c>
      <c r="F27" t="s">
        <v>39</v>
      </c>
      <c r="G27">
        <v>100</v>
      </c>
      <c r="H27">
        <v>40</v>
      </c>
      <c r="I27">
        <f t="shared" si="18"/>
        <v>0.4</v>
      </c>
      <c r="K27">
        <v>30</v>
      </c>
      <c r="L27" s="1">
        <v>19</v>
      </c>
      <c r="M27">
        <v>5.08</v>
      </c>
      <c r="N27">
        <v>43.68</v>
      </c>
      <c r="O27">
        <f t="shared" si="19"/>
        <v>38.6</v>
      </c>
      <c r="P27">
        <v>29.75</v>
      </c>
      <c r="Q27">
        <f t="shared" si="20"/>
        <v>24.67</v>
      </c>
      <c r="R27">
        <f t="shared" si="21"/>
        <v>13.93</v>
      </c>
      <c r="S27">
        <f t="shared" si="22"/>
        <v>36.088082901554401</v>
      </c>
      <c r="T27">
        <v>19</v>
      </c>
      <c r="U27">
        <v>28.951000000000001</v>
      </c>
      <c r="V27">
        <v>32.335999999999999</v>
      </c>
      <c r="W27">
        <f t="shared" si="23"/>
        <v>3.384999999999998</v>
      </c>
      <c r="X27">
        <f t="shared" si="24"/>
        <v>3384.9999999999982</v>
      </c>
      <c r="Y27">
        <v>32.119</v>
      </c>
      <c r="Z27">
        <f t="shared" si="25"/>
        <v>3.1679999999999993</v>
      </c>
      <c r="AA27">
        <f t="shared" si="26"/>
        <v>3167.9999999999991</v>
      </c>
      <c r="AB27">
        <f t="shared" si="27"/>
        <v>216.99999999999909</v>
      </c>
      <c r="AC27">
        <v>0.70440106584149909</v>
      </c>
      <c r="AD27">
        <f t="shared" si="28"/>
        <v>6.4106351550959877</v>
      </c>
      <c r="AE27">
        <f t="shared" si="1"/>
        <v>5.550413589364835</v>
      </c>
      <c r="AF27">
        <f t="shared" si="29"/>
        <v>3.9097172482097306E-2</v>
      </c>
      <c r="AG27" s="6">
        <f t="shared" si="2"/>
        <v>1.3019358436538402</v>
      </c>
      <c r="AH27" s="6">
        <v>33.299999999999997</v>
      </c>
      <c r="AI27" s="6">
        <f t="shared" si="3"/>
        <v>1.3019358436538402</v>
      </c>
      <c r="AJ27" s="6">
        <f t="shared" si="17"/>
        <v>3.9097172482097306E-2</v>
      </c>
    </row>
    <row r="28" spans="1:36" x14ac:dyDescent="0.2">
      <c r="A28" t="s">
        <v>37</v>
      </c>
      <c r="B28">
        <v>2022</v>
      </c>
      <c r="C28">
        <f t="shared" si="0"/>
        <v>3</v>
      </c>
      <c r="D28">
        <v>3</v>
      </c>
      <c r="E28">
        <v>3</v>
      </c>
      <c r="F28" t="s">
        <v>40</v>
      </c>
      <c r="G28">
        <v>100</v>
      </c>
      <c r="H28">
        <v>40</v>
      </c>
      <c r="I28">
        <f t="shared" si="18"/>
        <v>0.4</v>
      </c>
      <c r="K28">
        <v>30</v>
      </c>
      <c r="L28" s="1">
        <v>14</v>
      </c>
      <c r="M28">
        <v>5.16</v>
      </c>
      <c r="N28">
        <v>43.55</v>
      </c>
      <c r="O28">
        <f t="shared" si="19"/>
        <v>38.39</v>
      </c>
      <c r="P28">
        <v>27.58</v>
      </c>
      <c r="Q28">
        <f t="shared" si="20"/>
        <v>22.419999999999998</v>
      </c>
      <c r="R28">
        <f t="shared" si="21"/>
        <v>15.970000000000002</v>
      </c>
      <c r="S28">
        <f t="shared" si="22"/>
        <v>41.599374837197196</v>
      </c>
      <c r="T28">
        <v>14</v>
      </c>
      <c r="U28">
        <v>27.82</v>
      </c>
      <c r="V28">
        <v>31.556000000000001</v>
      </c>
      <c r="W28">
        <f t="shared" si="23"/>
        <v>3.7360000000000007</v>
      </c>
      <c r="X28">
        <f t="shared" si="24"/>
        <v>3736.0000000000005</v>
      </c>
      <c r="Y28">
        <v>31.238</v>
      </c>
      <c r="Z28">
        <f t="shared" si="25"/>
        <v>3.4179999999999993</v>
      </c>
      <c r="AA28">
        <f t="shared" si="26"/>
        <v>3417.9999999999991</v>
      </c>
      <c r="AB28">
        <f t="shared" si="27"/>
        <v>318.00000000000136</v>
      </c>
      <c r="AC28">
        <v>0.78573459370935805</v>
      </c>
      <c r="AD28">
        <f t="shared" si="28"/>
        <v>8.5117773019272303</v>
      </c>
      <c r="AE28">
        <f t="shared" si="1"/>
        <v>6.4223875802998007</v>
      </c>
      <c r="AF28">
        <f t="shared" si="29"/>
        <v>5.0462920960508903E-2</v>
      </c>
      <c r="AG28" s="6">
        <f t="shared" si="2"/>
        <v>1.6804152679849462</v>
      </c>
      <c r="AH28" s="6">
        <v>33.299999999999997</v>
      </c>
      <c r="AI28" s="6">
        <f t="shared" si="3"/>
        <v>1.6804152679849462</v>
      </c>
      <c r="AJ28" s="6">
        <f t="shared" si="17"/>
        <v>5.0462920960508903E-2</v>
      </c>
    </row>
    <row r="29" spans="1:36" x14ac:dyDescent="0.2">
      <c r="A29" t="s">
        <v>43</v>
      </c>
      <c r="B29">
        <v>2022</v>
      </c>
      <c r="C29">
        <f>2025-B29</f>
        <v>3</v>
      </c>
      <c r="D29">
        <v>1</v>
      </c>
      <c r="E29">
        <v>1</v>
      </c>
      <c r="F29" t="s">
        <v>38</v>
      </c>
      <c r="G29">
        <v>50</v>
      </c>
      <c r="H29">
        <v>15</v>
      </c>
      <c r="I29">
        <v>0.3</v>
      </c>
      <c r="J29">
        <v>4</v>
      </c>
      <c r="K29">
        <v>0</v>
      </c>
      <c r="L29">
        <v>7.5</v>
      </c>
      <c r="M29">
        <v>5.15</v>
      </c>
      <c r="N29">
        <v>45.275999999999996</v>
      </c>
      <c r="O29">
        <v>40.125999999999998</v>
      </c>
      <c r="P29">
        <v>37.389499999999998</v>
      </c>
      <c r="Q29">
        <v>32.2395</v>
      </c>
      <c r="R29">
        <v>7.8864999999999981</v>
      </c>
      <c r="S29">
        <v>19.63333607138987</v>
      </c>
      <c r="T29">
        <v>10.5</v>
      </c>
      <c r="U29">
        <v>29.500549999999997</v>
      </c>
      <c r="V29">
        <v>34.151899999999998</v>
      </c>
      <c r="W29">
        <v>4.651349999999999</v>
      </c>
      <c r="X29">
        <v>4651.3499999999985</v>
      </c>
      <c r="Y29">
        <v>33.929550000000006</v>
      </c>
      <c r="Z29">
        <v>4.4290000000000038</v>
      </c>
      <c r="AA29">
        <v>4429.0000000000036</v>
      </c>
      <c r="AB29">
        <v>222.34999999999491</v>
      </c>
      <c r="AC29">
        <v>1.5449435584168767</v>
      </c>
      <c r="AD29">
        <v>4.7755451634094346</v>
      </c>
      <c r="AE29">
        <f t="shared" si="1"/>
        <v>4.8718512428149152</v>
      </c>
      <c r="AF29">
        <f t="shared" si="29"/>
        <v>7.526735195152158E-2</v>
      </c>
      <c r="AG29" s="2">
        <f t="shared" ref="AG29:AG60" si="30">AF29*G29</f>
        <v>3.763367597576079</v>
      </c>
      <c r="AH29">
        <v>25</v>
      </c>
      <c r="AI29">
        <f>AF29-(AI30+AI31)</f>
        <v>2.1899903735021764E-4</v>
      </c>
      <c r="AJ29">
        <f>AI29/AH29</f>
        <v>8.7599614940087061E-6</v>
      </c>
    </row>
    <row r="30" spans="1:36" x14ac:dyDescent="0.2">
      <c r="A30" t="s">
        <v>43</v>
      </c>
      <c r="B30">
        <v>2022</v>
      </c>
      <c r="C30">
        <f t="shared" ref="C30:C82" si="31">2025-B30</f>
        <v>3</v>
      </c>
      <c r="D30">
        <v>1</v>
      </c>
      <c r="E30">
        <v>1</v>
      </c>
      <c r="F30" t="s">
        <v>39</v>
      </c>
      <c r="G30">
        <v>25</v>
      </c>
      <c r="H30">
        <v>10</v>
      </c>
      <c r="I30">
        <v>0.4</v>
      </c>
      <c r="J30">
        <v>4</v>
      </c>
      <c r="K30">
        <v>0</v>
      </c>
      <c r="L30">
        <v>9.5</v>
      </c>
      <c r="M30">
        <v>5.14</v>
      </c>
      <c r="N30">
        <v>44.019500000000001</v>
      </c>
      <c r="O30">
        <v>38.8795</v>
      </c>
      <c r="P30">
        <v>30.148499999999999</v>
      </c>
      <c r="Q30">
        <v>25.008499999999998</v>
      </c>
      <c r="R30">
        <v>13.871000000000002</v>
      </c>
      <c r="S30">
        <v>35.819449819457148</v>
      </c>
      <c r="T30">
        <v>11.5</v>
      </c>
      <c r="U30">
        <v>25.383600000000001</v>
      </c>
      <c r="V30">
        <v>29.0246</v>
      </c>
      <c r="W30">
        <v>3.641</v>
      </c>
      <c r="X30">
        <v>3641</v>
      </c>
      <c r="Y30">
        <v>28.860100000000003</v>
      </c>
      <c r="Z30">
        <v>3.4765000000000015</v>
      </c>
      <c r="AA30">
        <v>3476.5000000000014</v>
      </c>
      <c r="AB30">
        <v>164.49999999999864</v>
      </c>
      <c r="AC30">
        <v>1.5751266302286586</v>
      </c>
      <c r="AD30">
        <v>4.517088468279038</v>
      </c>
      <c r="AE30">
        <f t="shared" si="1"/>
        <v>4.7645917143358005</v>
      </c>
      <c r="AF30">
        <f t="shared" si="29"/>
        <v>7.5048352914171362E-2</v>
      </c>
      <c r="AG30" s="2">
        <f t="shared" si="30"/>
        <v>1.8762088228542841</v>
      </c>
      <c r="AH30">
        <v>15</v>
      </c>
      <c r="AI30">
        <f>AF30-AF31</f>
        <v>3.4624925875093582E-3</v>
      </c>
      <c r="AJ30">
        <f t="shared" ref="AJ30:AJ46" si="32">AI30/AH30</f>
        <v>2.3083283916729055E-4</v>
      </c>
    </row>
    <row r="31" spans="1:36" x14ac:dyDescent="0.2">
      <c r="A31" t="s">
        <v>43</v>
      </c>
      <c r="B31">
        <v>2022</v>
      </c>
      <c r="C31">
        <f t="shared" si="31"/>
        <v>3</v>
      </c>
      <c r="D31">
        <v>1</v>
      </c>
      <c r="E31">
        <v>1</v>
      </c>
      <c r="F31" t="s">
        <v>40</v>
      </c>
      <c r="G31">
        <v>10</v>
      </c>
      <c r="H31">
        <v>8</v>
      </c>
      <c r="I31">
        <v>0.8</v>
      </c>
      <c r="J31">
        <v>4</v>
      </c>
      <c r="K31">
        <v>0</v>
      </c>
      <c r="L31">
        <v>8194.5</v>
      </c>
      <c r="M31">
        <v>5.1099999999999994</v>
      </c>
      <c r="N31">
        <v>38.926500000000004</v>
      </c>
      <c r="O31">
        <v>33.816499999999998</v>
      </c>
      <c r="P31">
        <v>31.2925</v>
      </c>
      <c r="Q31">
        <v>26.182500000000001</v>
      </c>
      <c r="R31">
        <v>7.6340000000000003</v>
      </c>
      <c r="S31">
        <v>22.61742487114789</v>
      </c>
      <c r="T31">
        <v>9.5</v>
      </c>
      <c r="U31">
        <v>24.983249999999998</v>
      </c>
      <c r="V31">
        <v>28.529399999999999</v>
      </c>
      <c r="W31">
        <v>3.546149999999999</v>
      </c>
      <c r="X31">
        <v>3546.1499999999987</v>
      </c>
      <c r="Y31">
        <v>28.387549999999997</v>
      </c>
      <c r="Z31">
        <v>3.4042999999999992</v>
      </c>
      <c r="AA31">
        <v>3404.2999999999993</v>
      </c>
      <c r="AB31">
        <v>141.84999999999968</v>
      </c>
      <c r="AC31">
        <v>1.5738633378678664</v>
      </c>
      <c r="AD31">
        <v>3.9961844260926114</v>
      </c>
      <c r="AE31">
        <f t="shared" si="1"/>
        <v>4.5484165368284337</v>
      </c>
      <c r="AF31">
        <f t="shared" si="29"/>
        <v>7.1585860326662004E-2</v>
      </c>
      <c r="AG31" s="2">
        <f t="shared" si="30"/>
        <v>0.7158586032666201</v>
      </c>
      <c r="AH31">
        <v>10</v>
      </c>
      <c r="AI31">
        <f>AF31</f>
        <v>7.1585860326662004E-2</v>
      </c>
      <c r="AJ31">
        <f t="shared" si="32"/>
        <v>7.1585860326662002E-3</v>
      </c>
    </row>
    <row r="32" spans="1:36" x14ac:dyDescent="0.2">
      <c r="A32" t="s">
        <v>43</v>
      </c>
      <c r="B32">
        <v>2022</v>
      </c>
      <c r="C32">
        <f t="shared" si="31"/>
        <v>3</v>
      </c>
      <c r="D32">
        <v>1</v>
      </c>
      <c r="E32">
        <v>2</v>
      </c>
      <c r="F32" s="3" t="s">
        <v>41</v>
      </c>
      <c r="G32">
        <v>50</v>
      </c>
      <c r="H32">
        <v>15</v>
      </c>
      <c r="I32">
        <v>0.3</v>
      </c>
      <c r="J32">
        <v>4</v>
      </c>
      <c r="K32">
        <v>0</v>
      </c>
      <c r="L32">
        <v>13.5</v>
      </c>
      <c r="M32">
        <v>5.15</v>
      </c>
      <c r="N32">
        <v>38.042000000000002</v>
      </c>
      <c r="O32">
        <v>32.891999999999996</v>
      </c>
      <c r="P32">
        <v>30.730499999999999</v>
      </c>
      <c r="Q32">
        <v>25.580500000000001</v>
      </c>
      <c r="R32">
        <v>7.3115000000000006</v>
      </c>
      <c r="S32">
        <v>22.22913295045425</v>
      </c>
      <c r="T32">
        <v>9.5</v>
      </c>
      <c r="U32">
        <v>27.394449999999999</v>
      </c>
      <c r="V32">
        <v>31.1037</v>
      </c>
      <c r="W32">
        <v>3.7092500000000008</v>
      </c>
      <c r="X32">
        <v>3709.2500000000009</v>
      </c>
      <c r="Y32">
        <v>30.954999999999998</v>
      </c>
      <c r="Z32">
        <v>3.560550000000001</v>
      </c>
      <c r="AA32">
        <v>3560.5500000000011</v>
      </c>
      <c r="AB32">
        <v>148.69999999999959</v>
      </c>
      <c r="AC32">
        <v>1.5449435584168767</v>
      </c>
      <c r="AD32">
        <v>4.0092706536983567</v>
      </c>
      <c r="AE32">
        <f t="shared" si="1"/>
        <v>4.5538473212848185</v>
      </c>
      <c r="AF32">
        <f t="shared" si="29"/>
        <v>7.0354370850329292E-2</v>
      </c>
      <c r="AG32" s="2">
        <f t="shared" si="30"/>
        <v>3.5177185425164645</v>
      </c>
      <c r="AH32">
        <v>25</v>
      </c>
      <c r="AI32">
        <f>AF32-(AI33+AI34)</f>
        <v>9.5683593441785175E-4</v>
      </c>
      <c r="AJ32">
        <f t="shared" si="32"/>
        <v>3.8273437376714068E-5</v>
      </c>
    </row>
    <row r="33" spans="1:36" x14ac:dyDescent="0.2">
      <c r="A33" t="s">
        <v>43</v>
      </c>
      <c r="B33">
        <v>2022</v>
      </c>
      <c r="C33">
        <f t="shared" si="31"/>
        <v>3</v>
      </c>
      <c r="D33">
        <v>1</v>
      </c>
      <c r="E33">
        <v>2</v>
      </c>
      <c r="F33" t="s">
        <v>39</v>
      </c>
      <c r="G33">
        <v>25</v>
      </c>
      <c r="H33">
        <v>12</v>
      </c>
      <c r="I33">
        <v>0.48</v>
      </c>
      <c r="J33">
        <v>4</v>
      </c>
      <c r="K33">
        <v>0</v>
      </c>
      <c r="L33">
        <v>15.5</v>
      </c>
      <c r="M33">
        <v>5.1099999999999994</v>
      </c>
      <c r="N33">
        <v>41.954499999999996</v>
      </c>
      <c r="O33">
        <v>36.844499999999996</v>
      </c>
      <c r="P33">
        <v>34.326499999999996</v>
      </c>
      <c r="Q33">
        <v>29.2165</v>
      </c>
      <c r="R33">
        <v>7.6280000000000001</v>
      </c>
      <c r="S33">
        <v>20.767792694417871</v>
      </c>
      <c r="T33">
        <v>16.5</v>
      </c>
      <c r="U33">
        <v>28.714199999999998</v>
      </c>
      <c r="V33">
        <v>31.58295</v>
      </c>
      <c r="W33">
        <v>2.8687500000000004</v>
      </c>
      <c r="X33">
        <v>2868.7500000000005</v>
      </c>
      <c r="Y33">
        <v>31.477699999999999</v>
      </c>
      <c r="Z33">
        <v>2.7634999999999987</v>
      </c>
      <c r="AA33">
        <v>2763.4999999999986</v>
      </c>
      <c r="AB33">
        <v>105.25000000000182</v>
      </c>
      <c r="AC33">
        <v>1.5751266302286586</v>
      </c>
      <c r="AD33">
        <v>3.6526228024618685</v>
      </c>
      <c r="AE33">
        <f t="shared" si="1"/>
        <v>4.4058384630216754</v>
      </c>
      <c r="AF33">
        <f t="shared" si="29"/>
        <v>6.9397534915911441E-2</v>
      </c>
      <c r="AG33" s="2">
        <f t="shared" si="30"/>
        <v>1.7349383728977861</v>
      </c>
      <c r="AH33">
        <v>15</v>
      </c>
      <c r="AI33">
        <f>AF33-AF34</f>
        <v>-4.0196909279647114E-3</v>
      </c>
      <c r="AJ33">
        <f t="shared" si="32"/>
        <v>-2.6797939519764745E-4</v>
      </c>
    </row>
    <row r="34" spans="1:36" x14ac:dyDescent="0.2">
      <c r="A34" t="s">
        <v>43</v>
      </c>
      <c r="B34">
        <v>2022</v>
      </c>
      <c r="C34">
        <f t="shared" si="31"/>
        <v>3</v>
      </c>
      <c r="D34">
        <v>1</v>
      </c>
      <c r="E34">
        <v>2</v>
      </c>
      <c r="F34" t="s">
        <v>40</v>
      </c>
      <c r="G34">
        <v>10</v>
      </c>
      <c r="H34">
        <v>9</v>
      </c>
      <c r="I34">
        <v>0.9</v>
      </c>
      <c r="J34">
        <v>4</v>
      </c>
      <c r="K34">
        <v>0</v>
      </c>
      <c r="L34">
        <v>17.5</v>
      </c>
      <c r="M34">
        <v>5.09</v>
      </c>
      <c r="N34">
        <v>38.939</v>
      </c>
      <c r="O34">
        <v>33.849000000000004</v>
      </c>
      <c r="P34">
        <v>31.270499999999998</v>
      </c>
      <c r="Q34">
        <v>26.180500000000002</v>
      </c>
      <c r="R34">
        <v>7.6684999999999999</v>
      </c>
      <c r="S34">
        <v>22.655391683424611</v>
      </c>
      <c r="T34">
        <v>11</v>
      </c>
      <c r="U34">
        <v>27.58765</v>
      </c>
      <c r="V34">
        <v>30.893250000000002</v>
      </c>
      <c r="W34">
        <v>3.3056000000000001</v>
      </c>
      <c r="X34">
        <v>3305.6000000000004</v>
      </c>
      <c r="Y34">
        <v>30.751550000000002</v>
      </c>
      <c r="Z34">
        <v>3.1638999999999999</v>
      </c>
      <c r="AA34">
        <v>3163.8999999999996</v>
      </c>
      <c r="AB34">
        <v>141.70000000000027</v>
      </c>
      <c r="AC34">
        <v>1.5738633378678664</v>
      </c>
      <c r="AD34">
        <v>4.2765727451394735</v>
      </c>
      <c r="AE34">
        <f t="shared" si="1"/>
        <v>4.6647776892328814</v>
      </c>
      <c r="AF34">
        <f t="shared" si="29"/>
        <v>7.3417225843876152E-2</v>
      </c>
      <c r="AG34" s="2">
        <f t="shared" si="30"/>
        <v>0.73417225843876155</v>
      </c>
      <c r="AH34">
        <v>10</v>
      </c>
      <c r="AI34">
        <f>AF34</f>
        <v>7.3417225843876152E-2</v>
      </c>
      <c r="AJ34">
        <f t="shared" si="32"/>
        <v>7.3417225843876149E-3</v>
      </c>
    </row>
    <row r="35" spans="1:36" x14ac:dyDescent="0.2">
      <c r="A35" t="s">
        <v>43</v>
      </c>
      <c r="B35">
        <v>2022</v>
      </c>
      <c r="C35">
        <f t="shared" si="31"/>
        <v>3</v>
      </c>
      <c r="D35">
        <v>1</v>
      </c>
      <c r="E35">
        <v>3</v>
      </c>
      <c r="F35" s="3" t="s">
        <v>41</v>
      </c>
      <c r="G35">
        <v>50</v>
      </c>
      <c r="H35">
        <v>17</v>
      </c>
      <c r="I35">
        <v>0.34</v>
      </c>
      <c r="J35">
        <v>4</v>
      </c>
      <c r="K35">
        <v>0</v>
      </c>
      <c r="L35">
        <v>19.5</v>
      </c>
      <c r="M35">
        <v>5.09</v>
      </c>
      <c r="N35">
        <v>40.603499999999997</v>
      </c>
      <c r="O35">
        <v>35.513500000000001</v>
      </c>
      <c r="P35">
        <v>33.572000000000003</v>
      </c>
      <c r="Q35">
        <v>28.481999999999999</v>
      </c>
      <c r="R35">
        <v>7.0315000000000012</v>
      </c>
      <c r="S35">
        <v>19.828099010110847</v>
      </c>
      <c r="T35">
        <v>15</v>
      </c>
      <c r="U35">
        <v>28.393799999999999</v>
      </c>
      <c r="V35">
        <v>31.583100000000002</v>
      </c>
      <c r="W35">
        <v>3.1892999999999994</v>
      </c>
      <c r="X35">
        <v>3189.2999999999993</v>
      </c>
      <c r="Y35">
        <v>31.457000000000001</v>
      </c>
      <c r="Z35">
        <v>3.0632000000000001</v>
      </c>
      <c r="AA35">
        <v>3063.2</v>
      </c>
      <c r="AB35">
        <v>126.09999999999945</v>
      </c>
      <c r="AC35">
        <v>1.5449435584168767</v>
      </c>
      <c r="AD35">
        <v>3.9498985633227015</v>
      </c>
      <c r="AE35">
        <f t="shared" si="1"/>
        <v>4.5292079037789215</v>
      </c>
      <c r="AF35">
        <f t="shared" si="29"/>
        <v>6.9973705756740501E-2</v>
      </c>
      <c r="AG35" s="2">
        <f t="shared" si="30"/>
        <v>3.4986852878370249</v>
      </c>
      <c r="AH35">
        <v>25</v>
      </c>
      <c r="AI35">
        <f>AF35-(AI36+AI37)</f>
        <v>-2.1090405186162814E-3</v>
      </c>
      <c r="AJ35">
        <f t="shared" si="32"/>
        <v>-8.4361620744651252E-5</v>
      </c>
    </row>
    <row r="36" spans="1:36" x14ac:dyDescent="0.2">
      <c r="A36" t="s">
        <v>43</v>
      </c>
      <c r="B36">
        <v>2022</v>
      </c>
      <c r="C36">
        <f t="shared" si="31"/>
        <v>3</v>
      </c>
      <c r="D36">
        <v>1</v>
      </c>
      <c r="E36">
        <v>3</v>
      </c>
      <c r="F36" t="s">
        <v>39</v>
      </c>
      <c r="G36">
        <v>25</v>
      </c>
      <c r="H36">
        <v>15</v>
      </c>
      <c r="I36">
        <v>0.6</v>
      </c>
      <c r="J36">
        <v>4</v>
      </c>
      <c r="K36">
        <v>0</v>
      </c>
      <c r="L36">
        <v>21.5</v>
      </c>
      <c r="M36">
        <v>5.04</v>
      </c>
      <c r="N36">
        <v>39.876000000000005</v>
      </c>
      <c r="O36">
        <v>34.835999999999999</v>
      </c>
      <c r="P36">
        <v>32.115000000000002</v>
      </c>
      <c r="Q36">
        <v>27.075000000000003</v>
      </c>
      <c r="R36">
        <v>7.761000000000001</v>
      </c>
      <c r="S36">
        <v>22.313248278176172</v>
      </c>
      <c r="T36">
        <v>4</v>
      </c>
      <c r="U36">
        <v>27.612949999999998</v>
      </c>
      <c r="V36">
        <v>30.475299999999997</v>
      </c>
      <c r="W36">
        <v>2.8623499999999993</v>
      </c>
      <c r="X36">
        <v>2862.3499999999995</v>
      </c>
      <c r="Y36">
        <v>30.35905</v>
      </c>
      <c r="Z36">
        <v>2.7461000000000002</v>
      </c>
      <c r="AA36">
        <v>2746.1000000000004</v>
      </c>
      <c r="AB36">
        <v>116.24999999999909</v>
      </c>
      <c r="AC36">
        <v>1.5751266302286586</v>
      </c>
      <c r="AD36">
        <v>4.0634081129102917</v>
      </c>
      <c r="AE36">
        <f t="shared" si="1"/>
        <v>4.5763143668577708</v>
      </c>
      <c r="AF36">
        <f t="shared" si="29"/>
        <v>7.2082746275356782E-2</v>
      </c>
      <c r="AG36" s="2">
        <f t="shared" si="30"/>
        <v>1.8020686568839195</v>
      </c>
      <c r="AH36">
        <v>15</v>
      </c>
      <c r="AI36">
        <f>AF36-AF37</f>
        <v>-9.7085854299591712E-4</v>
      </c>
      <c r="AJ36">
        <f t="shared" si="32"/>
        <v>-6.4723902866394478E-5</v>
      </c>
    </row>
    <row r="37" spans="1:36" x14ac:dyDescent="0.2">
      <c r="A37" t="s">
        <v>43</v>
      </c>
      <c r="B37">
        <v>2022</v>
      </c>
      <c r="C37">
        <f t="shared" si="31"/>
        <v>3</v>
      </c>
      <c r="D37">
        <v>1</v>
      </c>
      <c r="E37">
        <v>3</v>
      </c>
      <c r="F37" t="s">
        <v>40</v>
      </c>
      <c r="G37">
        <v>10</v>
      </c>
      <c r="H37">
        <v>10</v>
      </c>
      <c r="I37">
        <v>1</v>
      </c>
      <c r="J37">
        <v>4</v>
      </c>
      <c r="K37">
        <v>0</v>
      </c>
      <c r="L37">
        <v>24</v>
      </c>
      <c r="M37">
        <v>5.1150000000000002</v>
      </c>
      <c r="N37">
        <v>42.016999999999996</v>
      </c>
      <c r="O37">
        <v>36.902000000000001</v>
      </c>
      <c r="P37">
        <v>34.325500000000005</v>
      </c>
      <c r="Q37">
        <v>29.210500000000003</v>
      </c>
      <c r="R37">
        <v>7.6914999999999978</v>
      </c>
      <c r="S37">
        <v>20.84263346229438</v>
      </c>
      <c r="T37">
        <v>12</v>
      </c>
      <c r="U37">
        <v>30.023350000000001</v>
      </c>
      <c r="V37">
        <v>33.0518</v>
      </c>
      <c r="W37">
        <v>3.0284500000000012</v>
      </c>
      <c r="X37">
        <v>3028.4500000000012</v>
      </c>
      <c r="Y37">
        <v>32.923900000000003</v>
      </c>
      <c r="Z37">
        <v>2.9005500000000044</v>
      </c>
      <c r="AA37">
        <v>2900.5500000000043</v>
      </c>
      <c r="AB37">
        <v>127.89999999999691</v>
      </c>
      <c r="AC37">
        <v>1.5738633378678664</v>
      </c>
      <c r="AD37">
        <v>4.2209011235225571</v>
      </c>
      <c r="AE37">
        <f t="shared" si="1"/>
        <v>4.6416739662618607</v>
      </c>
      <c r="AF37">
        <f t="shared" si="29"/>
        <v>7.3053604818352699E-2</v>
      </c>
      <c r="AG37" s="2">
        <f t="shared" si="30"/>
        <v>0.73053604818352702</v>
      </c>
      <c r="AH37">
        <v>10</v>
      </c>
      <c r="AI37">
        <f>AF37</f>
        <v>7.3053604818352699E-2</v>
      </c>
      <c r="AJ37">
        <f t="shared" si="32"/>
        <v>7.3053604818352699E-3</v>
      </c>
    </row>
    <row r="38" spans="1:36" x14ac:dyDescent="0.2">
      <c r="A38" t="s">
        <v>43</v>
      </c>
      <c r="B38">
        <v>2014</v>
      </c>
      <c r="C38">
        <f t="shared" si="31"/>
        <v>11</v>
      </c>
      <c r="D38">
        <v>2</v>
      </c>
      <c r="E38">
        <v>1</v>
      </c>
      <c r="F38" s="3" t="s">
        <v>41</v>
      </c>
      <c r="G38">
        <v>50</v>
      </c>
      <c r="H38">
        <v>17</v>
      </c>
      <c r="I38">
        <v>0.34</v>
      </c>
      <c r="J38">
        <v>4</v>
      </c>
      <c r="K38">
        <v>0</v>
      </c>
      <c r="L38">
        <v>25.5</v>
      </c>
      <c r="M38">
        <v>5.0049999999999999</v>
      </c>
      <c r="N38">
        <v>38.354500000000002</v>
      </c>
      <c r="O38">
        <v>33.349499999999999</v>
      </c>
      <c r="P38">
        <v>30.297000000000001</v>
      </c>
      <c r="Q38">
        <v>25.292000000000002</v>
      </c>
      <c r="R38">
        <v>8.057500000000001</v>
      </c>
      <c r="S38">
        <v>24.162050977540069</v>
      </c>
      <c r="T38">
        <v>16.5</v>
      </c>
      <c r="U38">
        <v>27.600899999999999</v>
      </c>
      <c r="V38">
        <v>30.536549999999998</v>
      </c>
      <c r="W38">
        <v>2.9356500000000008</v>
      </c>
      <c r="X38">
        <v>2935.6500000000005</v>
      </c>
      <c r="Y38">
        <v>30.383400000000002</v>
      </c>
      <c r="Z38">
        <v>2.7825000000000006</v>
      </c>
      <c r="AA38">
        <v>2782.5000000000005</v>
      </c>
      <c r="AB38">
        <v>153.15000000000032</v>
      </c>
      <c r="AC38">
        <v>1.5449435584168767</v>
      </c>
      <c r="AD38">
        <v>5.2154125765427741</v>
      </c>
      <c r="AE38">
        <f t="shared" si="1"/>
        <v>5.0543962192652518</v>
      </c>
      <c r="AF38">
        <f t="shared" si="29"/>
        <v>7.8087568806404661E-2</v>
      </c>
      <c r="AG38" s="2">
        <f t="shared" si="30"/>
        <v>3.9043784403202331</v>
      </c>
      <c r="AH38">
        <v>25</v>
      </c>
      <c r="AI38">
        <f>AF38-(AI39+AI40)</f>
        <v>-2.1978954817764157E-3</v>
      </c>
      <c r="AJ38">
        <f t="shared" si="32"/>
        <v>-8.7915819271056623E-5</v>
      </c>
    </row>
    <row r="39" spans="1:36" x14ac:dyDescent="0.2">
      <c r="A39" t="s">
        <v>43</v>
      </c>
      <c r="B39">
        <v>2014</v>
      </c>
      <c r="C39">
        <f t="shared" si="31"/>
        <v>11</v>
      </c>
      <c r="D39">
        <v>2</v>
      </c>
      <c r="E39">
        <v>1</v>
      </c>
      <c r="F39" t="s">
        <v>39</v>
      </c>
      <c r="G39">
        <v>25</v>
      </c>
      <c r="H39">
        <v>9</v>
      </c>
      <c r="I39">
        <v>0.36</v>
      </c>
      <c r="J39">
        <v>4</v>
      </c>
      <c r="K39">
        <v>0</v>
      </c>
      <c r="L39">
        <v>27.5</v>
      </c>
      <c r="M39">
        <v>4.9800000000000004</v>
      </c>
      <c r="N39">
        <v>40.520000000000003</v>
      </c>
      <c r="O39">
        <v>35.540000000000006</v>
      </c>
      <c r="P39">
        <v>30.2745</v>
      </c>
      <c r="Q39">
        <v>25.294499999999999</v>
      </c>
      <c r="R39">
        <v>10.245500000000003</v>
      </c>
      <c r="S39">
        <v>28.855908645406373</v>
      </c>
      <c r="T39">
        <v>15.5</v>
      </c>
      <c r="U39">
        <v>28.996649999999999</v>
      </c>
      <c r="V39">
        <v>31.681649999999998</v>
      </c>
      <c r="W39">
        <v>2.6850000000000005</v>
      </c>
      <c r="X39">
        <v>2685.0000000000009</v>
      </c>
      <c r="Y39">
        <v>31.538499999999999</v>
      </c>
      <c r="Z39">
        <v>2.5418500000000002</v>
      </c>
      <c r="AA39">
        <v>2541.8500000000004</v>
      </c>
      <c r="AB39">
        <v>143.15000000000055</v>
      </c>
      <c r="AC39">
        <v>1.5751266302286586</v>
      </c>
      <c r="AD39">
        <v>5.3182650363946742</v>
      </c>
      <c r="AE39">
        <f t="shared" si="1"/>
        <v>5.09707999010379</v>
      </c>
      <c r="AF39">
        <f t="shared" si="29"/>
        <v>8.0285464288181077E-2</v>
      </c>
      <c r="AG39" s="2">
        <f t="shared" si="30"/>
        <v>2.0071366072045271</v>
      </c>
      <c r="AH39">
        <v>15</v>
      </c>
      <c r="AI39">
        <f>AF39-AF40</f>
        <v>5.5624932415398037E-3</v>
      </c>
      <c r="AJ39">
        <f t="shared" si="32"/>
        <v>3.7083288276932024E-4</v>
      </c>
    </row>
    <row r="40" spans="1:36" x14ac:dyDescent="0.2">
      <c r="A40" t="s">
        <v>43</v>
      </c>
      <c r="B40">
        <v>2014</v>
      </c>
      <c r="C40">
        <f t="shared" si="31"/>
        <v>11</v>
      </c>
      <c r="D40">
        <v>2</v>
      </c>
      <c r="E40">
        <v>1</v>
      </c>
      <c r="F40" t="s">
        <v>40</v>
      </c>
      <c r="G40">
        <v>10</v>
      </c>
      <c r="H40">
        <v>10</v>
      </c>
      <c r="I40">
        <v>1</v>
      </c>
      <c r="J40">
        <v>4</v>
      </c>
      <c r="K40">
        <v>0</v>
      </c>
      <c r="L40">
        <v>29.5</v>
      </c>
      <c r="M40">
        <v>5.03</v>
      </c>
      <c r="N40">
        <v>41.394000000000005</v>
      </c>
      <c r="O40">
        <v>36.364000000000004</v>
      </c>
      <c r="P40">
        <v>31.616500000000002</v>
      </c>
      <c r="Q40">
        <v>26.586500000000001</v>
      </c>
      <c r="R40">
        <v>9.7775000000000016</v>
      </c>
      <c r="S40">
        <v>26.885909043659233</v>
      </c>
      <c r="T40">
        <v>11.5</v>
      </c>
      <c r="U40">
        <v>29.570550000000001</v>
      </c>
      <c r="V40">
        <v>33.342300000000002</v>
      </c>
      <c r="W40">
        <v>3.7717500000000008</v>
      </c>
      <c r="X40">
        <v>3771.7500000000009</v>
      </c>
      <c r="Y40">
        <v>33.173649999999995</v>
      </c>
      <c r="Z40">
        <v>3.6030999999999977</v>
      </c>
      <c r="AA40">
        <v>3603.0999999999976</v>
      </c>
      <c r="AB40">
        <v>168.65000000000305</v>
      </c>
      <c r="AC40">
        <v>1.5738633378678664</v>
      </c>
      <c r="AD40">
        <v>4.476486797831555</v>
      </c>
      <c r="AE40">
        <f t="shared" si="1"/>
        <v>4.7477420211000956</v>
      </c>
      <c r="AF40">
        <f t="shared" si="29"/>
        <v>7.4722971046641273E-2</v>
      </c>
      <c r="AG40" s="2">
        <f t="shared" si="30"/>
        <v>0.74722971046641273</v>
      </c>
      <c r="AH40">
        <v>10</v>
      </c>
      <c r="AI40">
        <f>AF40</f>
        <v>7.4722971046641273E-2</v>
      </c>
      <c r="AJ40">
        <f t="shared" si="32"/>
        <v>7.4722971046641273E-3</v>
      </c>
    </row>
    <row r="41" spans="1:36" x14ac:dyDescent="0.2">
      <c r="A41" t="s">
        <v>43</v>
      </c>
      <c r="B41">
        <v>2014</v>
      </c>
      <c r="C41">
        <f t="shared" si="31"/>
        <v>11</v>
      </c>
      <c r="D41">
        <v>2</v>
      </c>
      <c r="E41">
        <v>2</v>
      </c>
      <c r="F41" s="3" t="s">
        <v>41</v>
      </c>
      <c r="G41">
        <v>50</v>
      </c>
      <c r="H41">
        <v>25</v>
      </c>
      <c r="I41">
        <v>0.5</v>
      </c>
      <c r="J41">
        <v>4</v>
      </c>
      <c r="K41">
        <v>0</v>
      </c>
      <c r="L41">
        <v>31.5</v>
      </c>
      <c r="M41">
        <v>4.9849999999999994</v>
      </c>
      <c r="N41">
        <v>41.088499999999996</v>
      </c>
      <c r="O41">
        <v>36.103499999999997</v>
      </c>
      <c r="P41">
        <v>32.519999999999996</v>
      </c>
      <c r="Q41">
        <v>27.535</v>
      </c>
      <c r="R41">
        <v>8.5685000000000002</v>
      </c>
      <c r="S41">
        <v>23.73610027123307</v>
      </c>
      <c r="T41">
        <v>6.5</v>
      </c>
      <c r="U41">
        <v>27.044600000000003</v>
      </c>
      <c r="V41">
        <v>29.898150000000001</v>
      </c>
      <c r="W41">
        <v>2.8535499999999985</v>
      </c>
      <c r="X41">
        <v>2853.5499999999984</v>
      </c>
      <c r="Y41">
        <v>29.80585</v>
      </c>
      <c r="Z41">
        <v>2.7612499999999986</v>
      </c>
      <c r="AA41">
        <v>2761.2499999999986</v>
      </c>
      <c r="AB41">
        <v>92.299999999999955</v>
      </c>
      <c r="AC41">
        <v>1.5449435584168767</v>
      </c>
      <c r="AD41">
        <v>3.0848442444795259</v>
      </c>
      <c r="AE41">
        <f t="shared" si="1"/>
        <v>4.1702103614590031</v>
      </c>
      <c r="AF41">
        <f t="shared" si="29"/>
        <v>6.4427396351794008E-2</v>
      </c>
      <c r="AG41" s="2">
        <f t="shared" si="30"/>
        <v>3.2213698175897005</v>
      </c>
      <c r="AH41">
        <v>25</v>
      </c>
      <c r="AI41">
        <f>AF41-(AI42+AI43)</f>
        <v>-1.8235961860970554E-2</v>
      </c>
      <c r="AJ41">
        <f t="shared" si="32"/>
        <v>-7.2943847443882211E-4</v>
      </c>
    </row>
    <row r="42" spans="1:36" x14ac:dyDescent="0.2">
      <c r="A42" t="s">
        <v>43</v>
      </c>
      <c r="B42">
        <v>2014</v>
      </c>
      <c r="C42">
        <f t="shared" si="31"/>
        <v>11</v>
      </c>
      <c r="D42">
        <v>2</v>
      </c>
      <c r="E42">
        <v>2</v>
      </c>
      <c r="F42" t="s">
        <v>39</v>
      </c>
      <c r="G42">
        <v>25</v>
      </c>
      <c r="H42">
        <v>15</v>
      </c>
      <c r="I42">
        <v>0.6</v>
      </c>
      <c r="J42">
        <v>4</v>
      </c>
      <c r="K42">
        <v>0</v>
      </c>
      <c r="L42">
        <v>33.5</v>
      </c>
      <c r="M42">
        <v>4.9749999999999996</v>
      </c>
      <c r="N42">
        <v>37.304000000000002</v>
      </c>
      <c r="O42">
        <v>32.328999999999994</v>
      </c>
      <c r="P42">
        <v>28.5945</v>
      </c>
      <c r="Q42">
        <v>23.619499999999999</v>
      </c>
      <c r="R42">
        <v>8.7094999999999985</v>
      </c>
      <c r="S42">
        <v>26.936526390785325</v>
      </c>
      <c r="T42">
        <v>20.5</v>
      </c>
      <c r="U42">
        <v>29.8047</v>
      </c>
      <c r="V42">
        <v>32.8005</v>
      </c>
      <c r="W42">
        <v>2.9958000000000009</v>
      </c>
      <c r="X42">
        <v>2995.8000000000011</v>
      </c>
      <c r="Y42">
        <v>32.630400000000002</v>
      </c>
      <c r="Z42">
        <v>2.8257000000000012</v>
      </c>
      <c r="AA42">
        <v>2825.7000000000012</v>
      </c>
      <c r="AB42">
        <v>170.09999999999968</v>
      </c>
      <c r="AC42">
        <v>1.5751266302286586</v>
      </c>
      <c r="AD42">
        <v>5.682036733764976</v>
      </c>
      <c r="AE42">
        <f t="shared" si="1"/>
        <v>5.2480452445124648</v>
      </c>
      <c r="AF42">
        <f t="shared" si="29"/>
        <v>8.2663358212764562E-2</v>
      </c>
      <c r="AG42" s="2">
        <f t="shared" si="30"/>
        <v>2.0665839553191141</v>
      </c>
      <c r="AH42">
        <v>15</v>
      </c>
      <c r="AI42">
        <f>AF42-AF43</f>
        <v>-6.1326942776468163E-3</v>
      </c>
      <c r="AJ42">
        <f t="shared" si="32"/>
        <v>-4.0884628517645443E-4</v>
      </c>
    </row>
    <row r="43" spans="1:36" x14ac:dyDescent="0.2">
      <c r="A43" t="s">
        <v>43</v>
      </c>
      <c r="B43">
        <v>2014</v>
      </c>
      <c r="C43">
        <f t="shared" si="31"/>
        <v>11</v>
      </c>
      <c r="D43">
        <v>2</v>
      </c>
      <c r="E43">
        <v>2</v>
      </c>
      <c r="F43" t="s">
        <v>40</v>
      </c>
      <c r="G43">
        <v>10</v>
      </c>
      <c r="H43">
        <v>10</v>
      </c>
      <c r="I43">
        <v>1</v>
      </c>
      <c r="J43">
        <v>4</v>
      </c>
      <c r="K43">
        <v>0</v>
      </c>
      <c r="L43">
        <v>35.5</v>
      </c>
      <c r="M43">
        <v>5.0600000000000005</v>
      </c>
      <c r="N43">
        <v>39.467500000000001</v>
      </c>
      <c r="O43">
        <v>34.407499999999999</v>
      </c>
      <c r="P43">
        <v>29.176499999999997</v>
      </c>
      <c r="Q43">
        <v>24.116499999999998</v>
      </c>
      <c r="R43">
        <v>10.291000000000002</v>
      </c>
      <c r="S43">
        <v>29.960112242430647</v>
      </c>
      <c r="T43">
        <v>11</v>
      </c>
      <c r="U43">
        <v>26.31325</v>
      </c>
      <c r="V43">
        <v>29.920299999999997</v>
      </c>
      <c r="W43">
        <v>3.6070499999999992</v>
      </c>
      <c r="X43">
        <v>3607.0499999999993</v>
      </c>
      <c r="Y43">
        <v>29.681449999999998</v>
      </c>
      <c r="Z43">
        <v>3.3681999999999999</v>
      </c>
      <c r="AA43">
        <v>3368.2</v>
      </c>
      <c r="AB43">
        <v>238.84999999999945</v>
      </c>
      <c r="AC43">
        <v>1.5738633378678664</v>
      </c>
      <c r="AD43">
        <v>6.6311236590905631</v>
      </c>
      <c r="AE43">
        <f t="shared" si="1"/>
        <v>5.6419163185225836</v>
      </c>
      <c r="AF43">
        <f t="shared" si="29"/>
        <v>8.8796052490411378E-2</v>
      </c>
      <c r="AG43" s="2">
        <f t="shared" si="30"/>
        <v>0.88796052490411381</v>
      </c>
      <c r="AH43">
        <v>10</v>
      </c>
      <c r="AI43">
        <f>AF43</f>
        <v>8.8796052490411378E-2</v>
      </c>
      <c r="AJ43">
        <f t="shared" si="32"/>
        <v>8.8796052490411372E-3</v>
      </c>
    </row>
    <row r="44" spans="1:36" x14ac:dyDescent="0.2">
      <c r="A44" t="s">
        <v>43</v>
      </c>
      <c r="B44">
        <v>2014</v>
      </c>
      <c r="C44">
        <f t="shared" si="31"/>
        <v>11</v>
      </c>
      <c r="D44">
        <v>2</v>
      </c>
      <c r="E44">
        <v>3</v>
      </c>
      <c r="F44" t="s">
        <v>41</v>
      </c>
      <c r="G44">
        <v>40</v>
      </c>
      <c r="H44">
        <v>15</v>
      </c>
      <c r="I44">
        <v>0.375</v>
      </c>
      <c r="J44">
        <v>4</v>
      </c>
      <c r="K44">
        <v>0</v>
      </c>
      <c r="L44">
        <v>37.5</v>
      </c>
      <c r="M44">
        <v>5.085</v>
      </c>
      <c r="N44">
        <v>35.634</v>
      </c>
      <c r="O44">
        <v>30.548999999999999</v>
      </c>
      <c r="P44">
        <v>27.603999999999999</v>
      </c>
      <c r="Q44">
        <v>22.518999999999998</v>
      </c>
      <c r="R44">
        <v>8.0300000000000011</v>
      </c>
      <c r="S44">
        <v>26.287475953981502</v>
      </c>
      <c r="T44">
        <v>8.5</v>
      </c>
      <c r="U44">
        <v>28.383099999999999</v>
      </c>
      <c r="V44">
        <v>31.561450000000001</v>
      </c>
      <c r="W44">
        <v>3.17835</v>
      </c>
      <c r="X44">
        <v>3178.35</v>
      </c>
      <c r="Y44">
        <v>31.373800000000003</v>
      </c>
      <c r="Z44">
        <v>2.9907000000000004</v>
      </c>
      <c r="AA44">
        <v>2990.7000000000007</v>
      </c>
      <c r="AB44">
        <v>187.64999999999941</v>
      </c>
      <c r="AC44">
        <v>1.5449435584168767</v>
      </c>
      <c r="AD44">
        <v>5.903562911516973</v>
      </c>
      <c r="AE44">
        <f t="shared" si="1"/>
        <v>5.3399786082795444</v>
      </c>
      <c r="AF44">
        <f t="shared" si="29"/>
        <v>8.2499655529454E-2</v>
      </c>
      <c r="AG44" s="2">
        <f t="shared" si="30"/>
        <v>3.2999862211781599</v>
      </c>
      <c r="AH44">
        <v>25</v>
      </c>
      <c r="AI44">
        <f>AF44-(AI45+AI46)</f>
        <v>2.4735223581943133E-3</v>
      </c>
      <c r="AJ44">
        <f t="shared" si="32"/>
        <v>9.8940894327772535E-5</v>
      </c>
    </row>
    <row r="45" spans="1:36" x14ac:dyDescent="0.2">
      <c r="A45" t="s">
        <v>43</v>
      </c>
      <c r="B45">
        <v>2014</v>
      </c>
      <c r="C45">
        <f t="shared" si="31"/>
        <v>11</v>
      </c>
      <c r="D45">
        <v>2</v>
      </c>
      <c r="E45">
        <v>3</v>
      </c>
      <c r="F45" t="s">
        <v>39</v>
      </c>
      <c r="G45">
        <v>25</v>
      </c>
      <c r="H45">
        <v>11</v>
      </c>
      <c r="I45">
        <v>0.44</v>
      </c>
      <c r="J45">
        <v>4</v>
      </c>
      <c r="K45">
        <v>0</v>
      </c>
      <c r="L45">
        <v>39.5</v>
      </c>
      <c r="M45">
        <v>5.1349999999999998</v>
      </c>
      <c r="N45">
        <v>38.344000000000001</v>
      </c>
      <c r="O45">
        <v>33.209000000000003</v>
      </c>
      <c r="P45">
        <v>29.087</v>
      </c>
      <c r="Q45">
        <v>23.951999999999998</v>
      </c>
      <c r="R45">
        <v>9.2570000000000014</v>
      </c>
      <c r="S45">
        <v>27.86147490767344</v>
      </c>
      <c r="T45">
        <v>8.5</v>
      </c>
      <c r="U45">
        <v>27.914549999999998</v>
      </c>
      <c r="V45">
        <v>31.487099999999998</v>
      </c>
      <c r="W45">
        <v>3.5725499999999997</v>
      </c>
      <c r="X45">
        <v>3572.5499999999997</v>
      </c>
      <c r="Y45">
        <v>31.2987</v>
      </c>
      <c r="Z45">
        <v>3.38415</v>
      </c>
      <c r="AA45">
        <v>3384.1499999999996</v>
      </c>
      <c r="AB45">
        <v>188.39999999999986</v>
      </c>
      <c r="AC45">
        <v>1.5751266302286586</v>
      </c>
      <c r="AD45">
        <v>5.2785924001983595</v>
      </c>
      <c r="AE45">
        <f t="shared" si="1"/>
        <v>5.0806158460823188</v>
      </c>
      <c r="AF45">
        <f t="shared" si="29"/>
        <v>8.0026133171259686E-2</v>
      </c>
      <c r="AG45" s="2">
        <f t="shared" si="30"/>
        <v>2.0006533292814921</v>
      </c>
      <c r="AH45">
        <v>15</v>
      </c>
      <c r="AI45">
        <f t="shared" ref="AI45" si="33">AF45-AF46</f>
        <v>-1.0280251364505333E-3</v>
      </c>
      <c r="AJ45">
        <f t="shared" si="32"/>
        <v>-6.8535009096702213E-5</v>
      </c>
    </row>
    <row r="46" spans="1:36" x14ac:dyDescent="0.2">
      <c r="A46" t="s">
        <v>43</v>
      </c>
      <c r="B46">
        <v>2014</v>
      </c>
      <c r="C46">
        <f t="shared" si="31"/>
        <v>11</v>
      </c>
      <c r="D46">
        <v>2</v>
      </c>
      <c r="E46">
        <v>3</v>
      </c>
      <c r="F46" t="s">
        <v>40</v>
      </c>
      <c r="G46">
        <v>10</v>
      </c>
      <c r="H46">
        <v>10</v>
      </c>
      <c r="I46">
        <v>1</v>
      </c>
      <c r="J46">
        <v>4</v>
      </c>
      <c r="K46">
        <v>0</v>
      </c>
      <c r="L46">
        <v>41.5</v>
      </c>
      <c r="M46">
        <v>5.09</v>
      </c>
      <c r="N46">
        <v>38.408999999999999</v>
      </c>
      <c r="O46">
        <v>33.319000000000003</v>
      </c>
      <c r="P46">
        <v>29.038</v>
      </c>
      <c r="Q46">
        <v>23.948</v>
      </c>
      <c r="R46">
        <v>9.3709999999999987</v>
      </c>
      <c r="S46">
        <v>28.125896308745613</v>
      </c>
      <c r="T46">
        <v>6.5</v>
      </c>
      <c r="U46">
        <v>24.757249999999999</v>
      </c>
      <c r="V46">
        <v>28.444200000000002</v>
      </c>
      <c r="W46">
        <v>3.6869500000000013</v>
      </c>
      <c r="X46">
        <v>3686.9500000000012</v>
      </c>
      <c r="Y46">
        <v>28.243499999999997</v>
      </c>
      <c r="Z46">
        <v>3.4862500000000001</v>
      </c>
      <c r="AA46">
        <v>3486.25</v>
      </c>
      <c r="AB46">
        <v>200.70000000000118</v>
      </c>
      <c r="AC46">
        <v>1.5738633378678664</v>
      </c>
      <c r="AD46">
        <v>5.4458132031918716</v>
      </c>
      <c r="AE46">
        <f t="shared" si="1"/>
        <v>5.1500124793246265</v>
      </c>
      <c r="AF46">
        <f t="shared" si="29"/>
        <v>8.105415830771022E-2</v>
      </c>
      <c r="AG46" s="2">
        <f t="shared" si="30"/>
        <v>0.81054158307710222</v>
      </c>
      <c r="AH46">
        <v>10</v>
      </c>
      <c r="AI46">
        <f t="shared" ref="AI46" si="34">AF46</f>
        <v>8.105415830771022E-2</v>
      </c>
      <c r="AJ46">
        <f t="shared" si="32"/>
        <v>8.1054158307710227E-3</v>
      </c>
    </row>
    <row r="47" spans="1:36" x14ac:dyDescent="0.2">
      <c r="A47" t="s">
        <v>44</v>
      </c>
      <c r="B47">
        <v>2005</v>
      </c>
      <c r="C47">
        <f t="shared" si="31"/>
        <v>20</v>
      </c>
      <c r="D47">
        <v>1</v>
      </c>
      <c r="E47">
        <v>1</v>
      </c>
      <c r="F47" t="s">
        <v>38</v>
      </c>
      <c r="G47">
        <v>50</v>
      </c>
      <c r="H47">
        <v>17.5</v>
      </c>
      <c r="I47">
        <f>H47/G47</f>
        <v>0.35</v>
      </c>
      <c r="J47">
        <v>4</v>
      </c>
      <c r="L47">
        <v>5</v>
      </c>
      <c r="M47">
        <v>1.825</v>
      </c>
      <c r="N47">
        <v>37.319000000000003</v>
      </c>
      <c r="O47">
        <f t="shared" ref="O47:O109" si="35">N47-M47</f>
        <v>35.494</v>
      </c>
      <c r="P47">
        <v>29.777999999999999</v>
      </c>
      <c r="Q47">
        <f t="shared" ref="Q47:Q109" si="36">P47-M47</f>
        <v>27.952999999999999</v>
      </c>
      <c r="R47">
        <f>O47-Q47</f>
        <v>7.5410000000000004</v>
      </c>
      <c r="S47">
        <f>((O47-Q47)/O47)*100</f>
        <v>21.245844368062208</v>
      </c>
      <c r="T47">
        <v>16</v>
      </c>
      <c r="U47">
        <v>28.4542</v>
      </c>
      <c r="V47">
        <v>32.271000000000001</v>
      </c>
      <c r="W47">
        <f>V47-U47</f>
        <v>3.8168000000000006</v>
      </c>
      <c r="X47">
        <f>W47*1000</f>
        <v>3816.8000000000006</v>
      </c>
      <c r="Y47">
        <v>32.136299999999999</v>
      </c>
      <c r="Z47">
        <f>Y47-U47</f>
        <v>3.6820999999999984</v>
      </c>
      <c r="AA47">
        <f t="shared" ref="AA47:AA108" si="37">Z47*1000</f>
        <v>3682.0999999999985</v>
      </c>
      <c r="AB47">
        <f>X47-AA47</f>
        <v>134.70000000000209</v>
      </c>
      <c r="AC47">
        <v>1.0202627626905951</v>
      </c>
      <c r="AD47">
        <f t="shared" ref="AD47:AD78" si="38">((X47-AA47)/X47)*100</f>
        <v>3.5291343533850892</v>
      </c>
      <c r="AE47">
        <f t="shared" si="1"/>
        <v>4.3545907566548117</v>
      </c>
      <c r="AF47">
        <f t="shared" si="29"/>
        <v>4.4428267957715671E-2</v>
      </c>
      <c r="AG47" s="2">
        <f t="shared" si="30"/>
        <v>2.2214133978857835</v>
      </c>
      <c r="AH47">
        <v>25</v>
      </c>
      <c r="AI47">
        <f>AF47-(AI48+AI49)</f>
        <v>1.018930473707233E-2</v>
      </c>
      <c r="AJ47">
        <f>AI47/AH47</f>
        <v>4.0757218948289322E-4</v>
      </c>
    </row>
    <row r="48" spans="1:36" x14ac:dyDescent="0.2">
      <c r="A48" t="s">
        <v>44</v>
      </c>
      <c r="B48">
        <v>2005</v>
      </c>
      <c r="C48">
        <f t="shared" si="31"/>
        <v>20</v>
      </c>
      <c r="D48">
        <v>1</v>
      </c>
      <c r="E48">
        <v>1</v>
      </c>
      <c r="F48" t="s">
        <v>39</v>
      </c>
      <c r="G48">
        <v>25</v>
      </c>
      <c r="H48">
        <v>9</v>
      </c>
      <c r="I48">
        <f t="shared" ref="I48:I100" si="39">H48/G48</f>
        <v>0.36</v>
      </c>
      <c r="J48">
        <v>4</v>
      </c>
      <c r="L48">
        <v>6</v>
      </c>
      <c r="M48">
        <v>1.796</v>
      </c>
      <c r="N48">
        <v>38.600999999999999</v>
      </c>
      <c r="O48">
        <f t="shared" si="35"/>
        <v>36.805</v>
      </c>
      <c r="P48">
        <v>30.643000000000001</v>
      </c>
      <c r="Q48">
        <f t="shared" si="36"/>
        <v>28.847000000000001</v>
      </c>
      <c r="R48">
        <f t="shared" ref="R48:R82" si="40">O48-Q48</f>
        <v>7.9579999999999984</v>
      </c>
      <c r="S48">
        <f t="shared" ref="S48:S82" si="41">((O48-Q48)/O48)*100</f>
        <v>21.622062219807088</v>
      </c>
      <c r="T48">
        <v>13</v>
      </c>
      <c r="U48">
        <v>22.195699999999999</v>
      </c>
      <c r="V48">
        <v>25.920300000000001</v>
      </c>
      <c r="W48">
        <f t="shared" ref="W48:W82" si="42">V48-U48</f>
        <v>3.7246000000000024</v>
      </c>
      <c r="X48">
        <f t="shared" ref="X48:X82" si="43">W48*1000</f>
        <v>3724.6000000000022</v>
      </c>
      <c r="Y48">
        <v>25.772500000000001</v>
      </c>
      <c r="Z48">
        <f t="shared" ref="Z48:Z82" si="44">Y48-U48</f>
        <v>3.5768000000000022</v>
      </c>
      <c r="AA48">
        <f t="shared" si="37"/>
        <v>3576.800000000002</v>
      </c>
      <c r="AB48">
        <f t="shared" ref="AB48:AB82" si="45">X48-AA48</f>
        <v>147.80000000000018</v>
      </c>
      <c r="AC48">
        <v>0.75469284577388129</v>
      </c>
      <c r="AD48">
        <f t="shared" si="38"/>
        <v>3.9682113515545319</v>
      </c>
      <c r="AE48">
        <f t="shared" si="1"/>
        <v>4.5368077108951308</v>
      </c>
      <c r="AF48">
        <f t="shared" si="29"/>
        <v>3.4238963220643341E-2</v>
      </c>
      <c r="AG48" s="2">
        <f t="shared" si="30"/>
        <v>0.85597408051608348</v>
      </c>
      <c r="AH48">
        <v>15</v>
      </c>
      <c r="AI48">
        <f>AF48-AF49</f>
        <v>-9.1342029995948038E-3</v>
      </c>
      <c r="AJ48">
        <f t="shared" ref="AJ48:AJ82" si="46">AI48/AH48</f>
        <v>-6.0894686663965356E-4</v>
      </c>
    </row>
    <row r="49" spans="1:37" x14ac:dyDescent="0.2">
      <c r="A49" t="s">
        <v>44</v>
      </c>
      <c r="B49">
        <v>2005</v>
      </c>
      <c r="C49">
        <f t="shared" si="31"/>
        <v>20</v>
      </c>
      <c r="D49">
        <v>1</v>
      </c>
      <c r="E49">
        <v>1</v>
      </c>
      <c r="F49" t="s">
        <v>40</v>
      </c>
      <c r="G49">
        <v>10</v>
      </c>
      <c r="H49">
        <v>4</v>
      </c>
      <c r="I49">
        <f t="shared" si="39"/>
        <v>0.4</v>
      </c>
      <c r="J49">
        <v>4</v>
      </c>
      <c r="L49">
        <v>7</v>
      </c>
      <c r="M49">
        <v>1.8149999999999999</v>
      </c>
      <c r="N49">
        <v>33.651000000000003</v>
      </c>
      <c r="O49">
        <f t="shared" si="35"/>
        <v>31.836000000000002</v>
      </c>
      <c r="P49">
        <v>26.782</v>
      </c>
      <c r="Q49">
        <f t="shared" si="36"/>
        <v>24.966999999999999</v>
      </c>
      <c r="R49">
        <f t="shared" si="40"/>
        <v>6.8690000000000033</v>
      </c>
      <c r="S49">
        <f t="shared" si="41"/>
        <v>21.576203040582996</v>
      </c>
      <c r="T49">
        <v>7</v>
      </c>
      <c r="U49">
        <v>27.256399999999999</v>
      </c>
      <c r="V49">
        <v>31.168399999999998</v>
      </c>
      <c r="W49">
        <f t="shared" si="42"/>
        <v>3.911999999999999</v>
      </c>
      <c r="X49">
        <f t="shared" si="43"/>
        <v>3911.9999999999991</v>
      </c>
      <c r="Y49">
        <v>31.0078</v>
      </c>
      <c r="Z49">
        <f t="shared" si="44"/>
        <v>3.7514000000000003</v>
      </c>
      <c r="AA49">
        <f t="shared" si="37"/>
        <v>3751.4</v>
      </c>
      <c r="AB49">
        <f t="shared" si="45"/>
        <v>160.599999999999</v>
      </c>
      <c r="AC49">
        <v>0.94418669989266912</v>
      </c>
      <c r="AD49">
        <f t="shared" si="38"/>
        <v>4.1053169734151078</v>
      </c>
      <c r="AE49">
        <f t="shared" si="1"/>
        <v>4.5937065439672695</v>
      </c>
      <c r="AF49">
        <f t="shared" si="29"/>
        <v>4.3373166220238145E-2</v>
      </c>
      <c r="AG49" s="2">
        <f t="shared" si="30"/>
        <v>0.43373166220238146</v>
      </c>
      <c r="AH49">
        <v>10</v>
      </c>
      <c r="AI49">
        <f>AF49</f>
        <v>4.3373166220238145E-2</v>
      </c>
      <c r="AJ49">
        <f t="shared" si="46"/>
        <v>4.3373166220238143E-3</v>
      </c>
    </row>
    <row r="50" spans="1:37" x14ac:dyDescent="0.2">
      <c r="A50" t="s">
        <v>44</v>
      </c>
      <c r="B50">
        <v>2005</v>
      </c>
      <c r="C50">
        <f t="shared" si="31"/>
        <v>20</v>
      </c>
      <c r="D50">
        <v>1</v>
      </c>
      <c r="E50">
        <v>2</v>
      </c>
      <c r="F50" s="3" t="s">
        <v>41</v>
      </c>
      <c r="G50">
        <v>50</v>
      </c>
      <c r="H50">
        <v>14.6</v>
      </c>
      <c r="I50">
        <f t="shared" si="39"/>
        <v>0.29199999999999998</v>
      </c>
      <c r="J50">
        <v>4</v>
      </c>
      <c r="L50">
        <v>8</v>
      </c>
      <c r="M50">
        <v>1.798</v>
      </c>
      <c r="N50">
        <v>33.741999999999997</v>
      </c>
      <c r="O50">
        <f t="shared" si="35"/>
        <v>31.943999999999996</v>
      </c>
      <c r="P50">
        <v>26.77</v>
      </c>
      <c r="Q50">
        <f t="shared" si="36"/>
        <v>24.972000000000001</v>
      </c>
      <c r="R50">
        <f t="shared" si="40"/>
        <v>6.9719999999999942</v>
      </c>
      <c r="S50">
        <f t="shared" si="41"/>
        <v>21.82569496619082</v>
      </c>
      <c r="T50">
        <v>20</v>
      </c>
      <c r="U50">
        <v>28.529299999999999</v>
      </c>
      <c r="V50">
        <v>31.868099999999998</v>
      </c>
      <c r="W50">
        <f t="shared" si="42"/>
        <v>3.3387999999999991</v>
      </c>
      <c r="X50">
        <f t="shared" si="43"/>
        <v>3338.7999999999993</v>
      </c>
      <c r="Y50">
        <v>31.743400000000001</v>
      </c>
      <c r="Z50">
        <f t="shared" si="44"/>
        <v>3.214100000000002</v>
      </c>
      <c r="AA50">
        <f t="shared" si="37"/>
        <v>3214.1000000000022</v>
      </c>
      <c r="AB50">
        <f t="shared" si="45"/>
        <v>124.69999999999709</v>
      </c>
      <c r="AC50">
        <v>1.0202627626905951</v>
      </c>
      <c r="AD50">
        <f t="shared" si="38"/>
        <v>3.7348748053191905</v>
      </c>
      <c r="AE50">
        <f t="shared" si="1"/>
        <v>4.4399730442074645</v>
      </c>
      <c r="AF50">
        <f t="shared" si="29"/>
        <v>4.5299391643548799E-2</v>
      </c>
      <c r="AG50" s="2">
        <f t="shared" si="30"/>
        <v>2.2649695821774398</v>
      </c>
      <c r="AH50">
        <v>25</v>
      </c>
      <c r="AI50">
        <f>AF50-(AI51+AI52)</f>
        <v>1.0729687779280926E-2</v>
      </c>
      <c r="AJ50">
        <f t="shared" si="46"/>
        <v>4.2918751117123705E-4</v>
      </c>
    </row>
    <row r="51" spans="1:37" x14ac:dyDescent="0.2">
      <c r="A51" t="s">
        <v>44</v>
      </c>
      <c r="B51">
        <v>2005</v>
      </c>
      <c r="C51">
        <f t="shared" si="31"/>
        <v>20</v>
      </c>
      <c r="D51">
        <v>1</v>
      </c>
      <c r="E51">
        <v>2</v>
      </c>
      <c r="F51" t="s">
        <v>39</v>
      </c>
      <c r="G51">
        <v>25</v>
      </c>
      <c r="H51">
        <v>11</v>
      </c>
      <c r="I51">
        <f t="shared" si="39"/>
        <v>0.44</v>
      </c>
      <c r="J51">
        <v>4</v>
      </c>
      <c r="L51">
        <v>9</v>
      </c>
      <c r="M51">
        <v>1.7969999999999999</v>
      </c>
      <c r="N51">
        <v>32.979999999999997</v>
      </c>
      <c r="O51">
        <f t="shared" si="35"/>
        <v>31.182999999999996</v>
      </c>
      <c r="P51">
        <v>26.405999999999999</v>
      </c>
      <c r="Q51">
        <f t="shared" si="36"/>
        <v>24.608999999999998</v>
      </c>
      <c r="R51">
        <f t="shared" si="40"/>
        <v>6.5739999999999981</v>
      </c>
      <c r="S51">
        <f t="shared" si="41"/>
        <v>21.081999807587465</v>
      </c>
      <c r="T51">
        <v>17</v>
      </c>
      <c r="U51">
        <v>28.977</v>
      </c>
      <c r="V51">
        <v>31.952100000000002</v>
      </c>
      <c r="W51">
        <f t="shared" si="42"/>
        <v>2.9751000000000012</v>
      </c>
      <c r="X51">
        <f t="shared" si="43"/>
        <v>2975.1000000000013</v>
      </c>
      <c r="Y51">
        <v>31.8309</v>
      </c>
      <c r="Z51">
        <f t="shared" si="44"/>
        <v>2.8538999999999994</v>
      </c>
      <c r="AA51">
        <f t="shared" si="37"/>
        <v>2853.8999999999996</v>
      </c>
      <c r="AB51">
        <f t="shared" si="45"/>
        <v>121.20000000000164</v>
      </c>
      <c r="AC51">
        <v>0.75469284577388129</v>
      </c>
      <c r="AD51">
        <f t="shared" si="38"/>
        <v>4.073812644953164</v>
      </c>
      <c r="AE51">
        <f t="shared" si="1"/>
        <v>4.5806322476555632</v>
      </c>
      <c r="AF51">
        <f t="shared" si="29"/>
        <v>3.4569703864267873E-2</v>
      </c>
      <c r="AG51" s="2">
        <f t="shared" si="30"/>
        <v>0.86424259660669678</v>
      </c>
      <c r="AH51">
        <v>15</v>
      </c>
      <c r="AI51">
        <f>AF51-AF52</f>
        <v>-9.2002460230298511E-3</v>
      </c>
      <c r="AJ51">
        <f t="shared" si="46"/>
        <v>-6.1334973486865672E-4</v>
      </c>
    </row>
    <row r="52" spans="1:37" x14ac:dyDescent="0.2">
      <c r="A52" t="s">
        <v>44</v>
      </c>
      <c r="B52">
        <v>2005</v>
      </c>
      <c r="C52">
        <f t="shared" si="31"/>
        <v>20</v>
      </c>
      <c r="D52">
        <v>1</v>
      </c>
      <c r="E52">
        <v>2</v>
      </c>
      <c r="F52" t="s">
        <v>40</v>
      </c>
      <c r="G52">
        <v>10</v>
      </c>
      <c r="H52">
        <v>10</v>
      </c>
      <c r="I52">
        <f t="shared" si="39"/>
        <v>1</v>
      </c>
      <c r="J52">
        <v>4</v>
      </c>
      <c r="L52">
        <v>10</v>
      </c>
      <c r="M52">
        <v>1.79</v>
      </c>
      <c r="N52">
        <v>32.427</v>
      </c>
      <c r="O52">
        <f t="shared" si="35"/>
        <v>30.637</v>
      </c>
      <c r="P52">
        <v>25.106000000000002</v>
      </c>
      <c r="Q52">
        <f t="shared" si="36"/>
        <v>23.316000000000003</v>
      </c>
      <c r="R52">
        <f t="shared" si="40"/>
        <v>7.320999999999998</v>
      </c>
      <c r="S52">
        <f t="shared" si="41"/>
        <v>23.895942814244208</v>
      </c>
      <c r="T52">
        <v>2</v>
      </c>
      <c r="U52">
        <v>26.6465</v>
      </c>
      <c r="V52">
        <v>29.8201</v>
      </c>
      <c r="W52">
        <f t="shared" si="42"/>
        <v>3.1736000000000004</v>
      </c>
      <c r="X52">
        <f t="shared" si="43"/>
        <v>3173.6000000000004</v>
      </c>
      <c r="Y52">
        <v>29.686599999999999</v>
      </c>
      <c r="Z52">
        <f t="shared" si="44"/>
        <v>3.0400999999999989</v>
      </c>
      <c r="AA52">
        <f t="shared" si="37"/>
        <v>3040.099999999999</v>
      </c>
      <c r="AB52">
        <f t="shared" si="45"/>
        <v>133.50000000000136</v>
      </c>
      <c r="AC52">
        <v>0.94418669989266912</v>
      </c>
      <c r="AD52">
        <f t="shared" si="38"/>
        <v>4.2065792790522227</v>
      </c>
      <c r="AE52">
        <f t="shared" si="1"/>
        <v>4.635730400806672</v>
      </c>
      <c r="AF52">
        <f t="shared" si="29"/>
        <v>4.3769949887297724E-2</v>
      </c>
      <c r="AG52" s="2">
        <f t="shared" si="30"/>
        <v>0.43769949887297721</v>
      </c>
      <c r="AH52">
        <v>10</v>
      </c>
      <c r="AI52">
        <f>AF52</f>
        <v>4.3769949887297724E-2</v>
      </c>
      <c r="AJ52">
        <f t="shared" si="46"/>
        <v>4.376994988729772E-3</v>
      </c>
    </row>
    <row r="53" spans="1:37" x14ac:dyDescent="0.2">
      <c r="A53" t="s">
        <v>44</v>
      </c>
      <c r="B53">
        <v>2005</v>
      </c>
      <c r="C53">
        <f t="shared" si="31"/>
        <v>20</v>
      </c>
      <c r="D53">
        <v>1</v>
      </c>
      <c r="E53">
        <v>3</v>
      </c>
      <c r="F53" s="3" t="s">
        <v>41</v>
      </c>
      <c r="G53">
        <v>50</v>
      </c>
      <c r="H53">
        <v>17.2</v>
      </c>
      <c r="I53">
        <f t="shared" si="39"/>
        <v>0.34399999999999997</v>
      </c>
      <c r="J53">
        <v>4</v>
      </c>
      <c r="L53">
        <v>11</v>
      </c>
      <c r="M53">
        <v>1.823</v>
      </c>
      <c r="N53">
        <v>37.752000000000002</v>
      </c>
      <c r="O53">
        <f t="shared" si="35"/>
        <v>35.929000000000002</v>
      </c>
      <c r="P53">
        <v>29.843</v>
      </c>
      <c r="Q53">
        <f t="shared" si="36"/>
        <v>28.02</v>
      </c>
      <c r="R53">
        <f t="shared" si="40"/>
        <v>7.9090000000000025</v>
      </c>
      <c r="S53">
        <f t="shared" si="41"/>
        <v>22.012858693534476</v>
      </c>
      <c r="T53">
        <v>3</v>
      </c>
      <c r="U53">
        <v>28.9665</v>
      </c>
      <c r="V53">
        <v>31.523</v>
      </c>
      <c r="W53">
        <f t="shared" si="42"/>
        <v>2.5564999999999998</v>
      </c>
      <c r="X53">
        <f t="shared" si="43"/>
        <v>2556.5</v>
      </c>
      <c r="Y53">
        <v>31.42</v>
      </c>
      <c r="Z53">
        <f t="shared" si="44"/>
        <v>2.4535000000000018</v>
      </c>
      <c r="AA53">
        <f t="shared" si="37"/>
        <v>2453.5000000000018</v>
      </c>
      <c r="AB53">
        <f t="shared" si="45"/>
        <v>102.99999999999818</v>
      </c>
      <c r="AC53">
        <v>1.0202627626905951</v>
      </c>
      <c r="AD53">
        <f t="shared" si="38"/>
        <v>4.0289458243691838</v>
      </c>
      <c r="AE53">
        <f t="shared" si="1"/>
        <v>4.5620125171132111</v>
      </c>
      <c r="AF53">
        <f t="shared" si="29"/>
        <v>4.654451494139001E-2</v>
      </c>
      <c r="AG53" s="2">
        <f t="shared" si="30"/>
        <v>2.3272257470695004</v>
      </c>
      <c r="AH53">
        <v>25</v>
      </c>
      <c r="AI53">
        <f>AF53-(AI54+AI55)</f>
        <v>1.1589216756695088E-2</v>
      </c>
      <c r="AJ53">
        <f t="shared" si="46"/>
        <v>4.6356867026780353E-4</v>
      </c>
    </row>
    <row r="54" spans="1:37" x14ac:dyDescent="0.2">
      <c r="A54" t="s">
        <v>44</v>
      </c>
      <c r="B54">
        <v>2005</v>
      </c>
      <c r="C54">
        <f t="shared" si="31"/>
        <v>20</v>
      </c>
      <c r="D54">
        <v>1</v>
      </c>
      <c r="E54">
        <v>3</v>
      </c>
      <c r="F54" t="s">
        <v>39</v>
      </c>
      <c r="G54">
        <v>25</v>
      </c>
      <c r="H54">
        <v>12.5</v>
      </c>
      <c r="I54">
        <f t="shared" si="39"/>
        <v>0.5</v>
      </c>
      <c r="J54">
        <v>4</v>
      </c>
      <c r="L54">
        <v>12</v>
      </c>
      <c r="M54">
        <v>1.8460000000000001</v>
      </c>
      <c r="N54">
        <v>35.722999999999999</v>
      </c>
      <c r="O54">
        <f t="shared" si="35"/>
        <v>33.876999999999995</v>
      </c>
      <c r="P54">
        <v>27.696000000000002</v>
      </c>
      <c r="Q54">
        <f t="shared" si="36"/>
        <v>25.85</v>
      </c>
      <c r="R54">
        <f t="shared" si="40"/>
        <v>8.0269999999999939</v>
      </c>
      <c r="S54">
        <f t="shared" si="41"/>
        <v>23.694542019659341</v>
      </c>
      <c r="T54">
        <v>11</v>
      </c>
      <c r="U54">
        <v>27.443899999999999</v>
      </c>
      <c r="V54">
        <v>30.679600000000001</v>
      </c>
      <c r="W54">
        <f t="shared" si="42"/>
        <v>3.2357000000000014</v>
      </c>
      <c r="X54">
        <f t="shared" si="43"/>
        <v>3235.7000000000012</v>
      </c>
      <c r="Y54">
        <v>30.543800000000001</v>
      </c>
      <c r="Z54">
        <f t="shared" si="44"/>
        <v>3.0999000000000017</v>
      </c>
      <c r="AA54">
        <f t="shared" si="37"/>
        <v>3099.9000000000015</v>
      </c>
      <c r="AB54">
        <f t="shared" si="45"/>
        <v>135.79999999999973</v>
      </c>
      <c r="AC54">
        <v>0.75469284577388129</v>
      </c>
      <c r="AD54">
        <f t="shared" si="38"/>
        <v>4.1969280217572607</v>
      </c>
      <c r="AE54">
        <f t="shared" si="1"/>
        <v>4.6317251290292631</v>
      </c>
      <c r="AF54">
        <f t="shared" ref="AF54:AF85" si="47">AC54*(AE54/100)</f>
        <v>3.4955298184694922E-2</v>
      </c>
      <c r="AG54" s="2">
        <f t="shared" si="30"/>
        <v>0.87388245461737302</v>
      </c>
      <c r="AH54">
        <v>15</v>
      </c>
      <c r="AI54">
        <f>AF54-AF55</f>
        <v>-7.374839715850276E-3</v>
      </c>
      <c r="AJ54">
        <f t="shared" si="46"/>
        <v>-4.9165598105668502E-4</v>
      </c>
      <c r="AK54" t="s">
        <v>45</v>
      </c>
    </row>
    <row r="55" spans="1:37" x14ac:dyDescent="0.2">
      <c r="A55" t="s">
        <v>44</v>
      </c>
      <c r="B55">
        <v>2005</v>
      </c>
      <c r="C55">
        <f t="shared" si="31"/>
        <v>20</v>
      </c>
      <c r="D55">
        <v>1</v>
      </c>
      <c r="E55">
        <v>3</v>
      </c>
      <c r="F55" t="s">
        <v>40</v>
      </c>
      <c r="G55">
        <v>10</v>
      </c>
      <c r="H55">
        <v>9.5</v>
      </c>
      <c r="I55">
        <f t="shared" si="39"/>
        <v>0.95</v>
      </c>
      <c r="J55">
        <v>4</v>
      </c>
      <c r="L55">
        <v>13</v>
      </c>
      <c r="M55">
        <v>1.837</v>
      </c>
      <c r="N55">
        <v>32.470999999999997</v>
      </c>
      <c r="O55">
        <f t="shared" si="35"/>
        <v>30.633999999999997</v>
      </c>
      <c r="P55">
        <v>25.896000000000001</v>
      </c>
      <c r="Q55">
        <f t="shared" si="36"/>
        <v>24.059000000000001</v>
      </c>
      <c r="R55">
        <f t="shared" si="40"/>
        <v>6.5749999999999957</v>
      </c>
      <c r="S55">
        <f t="shared" si="41"/>
        <v>21.463080237644437</v>
      </c>
      <c r="T55">
        <v>10</v>
      </c>
      <c r="U55">
        <v>28.571300000000001</v>
      </c>
      <c r="V55">
        <v>31.910599999999999</v>
      </c>
      <c r="W55">
        <f t="shared" si="42"/>
        <v>3.3392999999999979</v>
      </c>
      <c r="X55">
        <f t="shared" si="43"/>
        <v>3339.2999999999979</v>
      </c>
      <c r="Y55">
        <v>31.782399999999999</v>
      </c>
      <c r="Z55">
        <f t="shared" si="44"/>
        <v>3.2110999999999983</v>
      </c>
      <c r="AA55">
        <f t="shared" si="37"/>
        <v>3211.0999999999981</v>
      </c>
      <c r="AB55">
        <f t="shared" si="45"/>
        <v>128.19999999999982</v>
      </c>
      <c r="AC55">
        <v>0.94418669989266912</v>
      </c>
      <c r="AD55">
        <f t="shared" si="38"/>
        <v>3.8391279609498965</v>
      </c>
      <c r="AE55">
        <f t="shared" si="1"/>
        <v>4.4832381037942071</v>
      </c>
      <c r="AF55">
        <f t="shared" si="47"/>
        <v>4.2330137900545198E-2</v>
      </c>
      <c r="AG55" s="2">
        <f t="shared" si="30"/>
        <v>0.42330137900545195</v>
      </c>
      <c r="AH55">
        <v>10</v>
      </c>
      <c r="AI55">
        <f>AF55</f>
        <v>4.2330137900545198E-2</v>
      </c>
      <c r="AJ55">
        <f t="shared" si="46"/>
        <v>4.2330137900545199E-3</v>
      </c>
    </row>
    <row r="56" spans="1:37" x14ac:dyDescent="0.2">
      <c r="A56" t="s">
        <v>44</v>
      </c>
      <c r="B56">
        <v>2005</v>
      </c>
      <c r="C56">
        <f t="shared" si="31"/>
        <v>20</v>
      </c>
      <c r="D56">
        <v>2</v>
      </c>
      <c r="E56">
        <v>1</v>
      </c>
      <c r="F56" s="3" t="s">
        <v>41</v>
      </c>
      <c r="G56">
        <v>50</v>
      </c>
      <c r="H56">
        <v>15.5</v>
      </c>
      <c r="I56">
        <f t="shared" si="39"/>
        <v>0.31</v>
      </c>
      <c r="J56">
        <v>4</v>
      </c>
      <c r="L56">
        <v>14</v>
      </c>
      <c r="M56">
        <v>1.8340000000000001</v>
      </c>
      <c r="N56">
        <v>33.982999999999997</v>
      </c>
      <c r="O56">
        <f t="shared" si="35"/>
        <v>32.148999999999994</v>
      </c>
      <c r="P56">
        <v>27.478999999999999</v>
      </c>
      <c r="Q56">
        <f t="shared" si="36"/>
        <v>25.645</v>
      </c>
      <c r="R56">
        <f t="shared" si="40"/>
        <v>6.5039999999999942</v>
      </c>
      <c r="S56">
        <f t="shared" si="41"/>
        <v>20.230800335935783</v>
      </c>
      <c r="T56">
        <v>18</v>
      </c>
      <c r="U56">
        <v>27.354700000000001</v>
      </c>
      <c r="V56">
        <v>30.313199999999998</v>
      </c>
      <c r="W56">
        <f t="shared" si="42"/>
        <v>2.9584999999999972</v>
      </c>
      <c r="X56">
        <f t="shared" si="43"/>
        <v>2958.4999999999973</v>
      </c>
      <c r="Y56">
        <v>30.1936</v>
      </c>
      <c r="Z56">
        <f t="shared" si="44"/>
        <v>2.8388999999999989</v>
      </c>
      <c r="AA56">
        <f t="shared" si="37"/>
        <v>2838.8999999999987</v>
      </c>
      <c r="AB56">
        <f t="shared" si="45"/>
        <v>119.59999999999854</v>
      </c>
      <c r="AC56">
        <v>1.0202627626905951</v>
      </c>
      <c r="AD56">
        <f t="shared" si="38"/>
        <v>4.0425891499070019</v>
      </c>
      <c r="AE56">
        <f t="shared" si="1"/>
        <v>4.5676744972114056</v>
      </c>
      <c r="AF56">
        <f t="shared" si="47"/>
        <v>4.6602282015962837E-2</v>
      </c>
      <c r="AG56" s="2">
        <f t="shared" si="30"/>
        <v>2.3301141007981419</v>
      </c>
      <c r="AH56">
        <v>25</v>
      </c>
      <c r="AI56">
        <f>AF56-(AI57+AI58)</f>
        <v>1.0426769210364992E-2</v>
      </c>
      <c r="AJ56">
        <f t="shared" si="46"/>
        <v>4.1707076841459965E-4</v>
      </c>
    </row>
    <row r="57" spans="1:37" x14ac:dyDescent="0.2">
      <c r="A57" t="s">
        <v>44</v>
      </c>
      <c r="B57">
        <v>2005</v>
      </c>
      <c r="C57">
        <f t="shared" si="31"/>
        <v>20</v>
      </c>
      <c r="D57">
        <v>2</v>
      </c>
      <c r="E57">
        <v>1</v>
      </c>
      <c r="F57" t="s">
        <v>39</v>
      </c>
      <c r="G57">
        <v>25</v>
      </c>
      <c r="H57">
        <v>15.5</v>
      </c>
      <c r="I57">
        <f t="shared" si="39"/>
        <v>0.62</v>
      </c>
      <c r="J57">
        <v>4</v>
      </c>
      <c r="L57">
        <v>15</v>
      </c>
      <c r="M57">
        <v>1.8480000000000001</v>
      </c>
      <c r="N57">
        <v>35.012</v>
      </c>
      <c r="O57">
        <f t="shared" si="35"/>
        <v>33.164000000000001</v>
      </c>
      <c r="P57">
        <v>27.056000000000001</v>
      </c>
      <c r="Q57">
        <f t="shared" si="36"/>
        <v>25.208000000000002</v>
      </c>
      <c r="R57">
        <f t="shared" si="40"/>
        <v>7.9559999999999995</v>
      </c>
      <c r="S57">
        <f t="shared" si="41"/>
        <v>23.989868532143284</v>
      </c>
      <c r="T57">
        <v>6</v>
      </c>
      <c r="U57">
        <v>30.165400000000002</v>
      </c>
      <c r="V57">
        <v>33.3748</v>
      </c>
      <c r="W57">
        <f t="shared" si="42"/>
        <v>3.2093999999999987</v>
      </c>
      <c r="X57">
        <f t="shared" si="43"/>
        <v>3209.3999999999987</v>
      </c>
      <c r="Y57">
        <v>33.227600000000002</v>
      </c>
      <c r="Z57">
        <f t="shared" si="44"/>
        <v>3.0622000000000007</v>
      </c>
      <c r="AA57">
        <f t="shared" si="37"/>
        <v>3062.2000000000007</v>
      </c>
      <c r="AB57">
        <f t="shared" si="45"/>
        <v>147.199999999998</v>
      </c>
      <c r="AC57">
        <v>0.75469284577388129</v>
      </c>
      <c r="AD57">
        <f t="shared" si="38"/>
        <v>4.5865270767120974</v>
      </c>
      <c r="AE57">
        <f t="shared" si="1"/>
        <v>4.79340873683552</v>
      </c>
      <c r="AF57">
        <f t="shared" si="47"/>
        <v>3.6175512805597845E-2</v>
      </c>
      <c r="AG57" s="2">
        <f t="shared" si="30"/>
        <v>0.90438782013994612</v>
      </c>
      <c r="AH57">
        <v>15</v>
      </c>
      <c r="AI57">
        <f>AF57-AF58</f>
        <v>-6.9116084925796087E-3</v>
      </c>
      <c r="AJ57">
        <f t="shared" si="46"/>
        <v>-4.6077389950530725E-4</v>
      </c>
    </row>
    <row r="58" spans="1:37" x14ac:dyDescent="0.2">
      <c r="A58" t="s">
        <v>44</v>
      </c>
      <c r="B58">
        <v>2005</v>
      </c>
      <c r="C58">
        <f t="shared" si="31"/>
        <v>20</v>
      </c>
      <c r="D58">
        <v>2</v>
      </c>
      <c r="E58">
        <v>1</v>
      </c>
      <c r="F58" t="s">
        <v>40</v>
      </c>
      <c r="G58">
        <v>10</v>
      </c>
      <c r="H58">
        <v>5</v>
      </c>
      <c r="I58">
        <f t="shared" si="39"/>
        <v>0.5</v>
      </c>
      <c r="J58">
        <v>4</v>
      </c>
      <c r="L58">
        <v>16</v>
      </c>
      <c r="M58">
        <v>1.8160000000000001</v>
      </c>
      <c r="N58">
        <v>32.570999999999998</v>
      </c>
      <c r="O58">
        <f t="shared" si="35"/>
        <v>30.754999999999999</v>
      </c>
      <c r="P58">
        <v>26.47</v>
      </c>
      <c r="Q58">
        <f t="shared" si="36"/>
        <v>24.654</v>
      </c>
      <c r="R58">
        <f t="shared" si="40"/>
        <v>6.1009999999999991</v>
      </c>
      <c r="S58">
        <f t="shared" si="41"/>
        <v>19.837424808974149</v>
      </c>
      <c r="T58">
        <v>19</v>
      </c>
      <c r="U58">
        <v>28.572700000000001</v>
      </c>
      <c r="V58">
        <v>32.744</v>
      </c>
      <c r="W58">
        <f t="shared" si="42"/>
        <v>4.1712999999999987</v>
      </c>
      <c r="X58">
        <f t="shared" si="43"/>
        <v>4171.2999999999984</v>
      </c>
      <c r="Y58">
        <v>32.575800000000001</v>
      </c>
      <c r="Z58">
        <f t="shared" si="44"/>
        <v>4.0030999999999999</v>
      </c>
      <c r="AA58">
        <f t="shared" si="37"/>
        <v>4003.1</v>
      </c>
      <c r="AB58">
        <f t="shared" si="45"/>
        <v>168.19999999999845</v>
      </c>
      <c r="AC58">
        <v>0.94418669989266912</v>
      </c>
      <c r="AD58">
        <f t="shared" si="38"/>
        <v>4.0323160645362002</v>
      </c>
      <c r="AE58">
        <f t="shared" si="1"/>
        <v>4.5634111667825232</v>
      </c>
      <c r="AF58">
        <f t="shared" si="47"/>
        <v>4.3087121298177454E-2</v>
      </c>
      <c r="AG58" s="2">
        <f t="shared" si="30"/>
        <v>0.43087121298177455</v>
      </c>
      <c r="AH58">
        <v>10</v>
      </c>
      <c r="AI58">
        <f>AF58</f>
        <v>4.3087121298177454E-2</v>
      </c>
      <c r="AJ58">
        <f t="shared" si="46"/>
        <v>4.3087121298177452E-3</v>
      </c>
      <c r="AK58" t="s">
        <v>46</v>
      </c>
    </row>
    <row r="59" spans="1:37" x14ac:dyDescent="0.2">
      <c r="A59" t="s">
        <v>44</v>
      </c>
      <c r="B59">
        <v>2005</v>
      </c>
      <c r="C59">
        <f t="shared" si="31"/>
        <v>20</v>
      </c>
      <c r="D59">
        <v>2</v>
      </c>
      <c r="E59">
        <v>2</v>
      </c>
      <c r="F59" s="3" t="s">
        <v>41</v>
      </c>
      <c r="G59">
        <v>50</v>
      </c>
      <c r="H59">
        <v>17.5</v>
      </c>
      <c r="I59">
        <f t="shared" si="39"/>
        <v>0.35</v>
      </c>
      <c r="J59">
        <v>4</v>
      </c>
      <c r="L59">
        <v>17</v>
      </c>
      <c r="M59">
        <v>1.823</v>
      </c>
      <c r="N59">
        <v>34.020000000000003</v>
      </c>
      <c r="O59">
        <f t="shared" si="35"/>
        <v>32.197000000000003</v>
      </c>
      <c r="P59">
        <v>26.945</v>
      </c>
      <c r="Q59">
        <f t="shared" si="36"/>
        <v>25.122</v>
      </c>
      <c r="R59">
        <f t="shared" si="40"/>
        <v>7.0750000000000028</v>
      </c>
      <c r="S59">
        <f t="shared" si="41"/>
        <v>21.974096965555802</v>
      </c>
      <c r="T59">
        <v>15</v>
      </c>
      <c r="U59">
        <v>27.838000000000001</v>
      </c>
      <c r="V59">
        <v>31.654900000000001</v>
      </c>
      <c r="W59">
        <f t="shared" si="42"/>
        <v>3.8169000000000004</v>
      </c>
      <c r="X59">
        <f t="shared" si="43"/>
        <v>3816.9000000000005</v>
      </c>
      <c r="Y59">
        <v>31.476600000000001</v>
      </c>
      <c r="Z59">
        <f t="shared" si="44"/>
        <v>3.6386000000000003</v>
      </c>
      <c r="AA59">
        <f t="shared" si="37"/>
        <v>3638.6000000000004</v>
      </c>
      <c r="AB59">
        <f t="shared" si="45"/>
        <v>178.30000000000018</v>
      </c>
      <c r="AC59">
        <v>1.0202627626905951</v>
      </c>
      <c r="AD59">
        <f t="shared" si="38"/>
        <v>4.6713301370221947</v>
      </c>
      <c r="AE59">
        <f t="shared" si="1"/>
        <v>4.8286020068642106</v>
      </c>
      <c r="AF59">
        <f t="shared" si="47"/>
        <v>4.9264428234566317E-2</v>
      </c>
      <c r="AG59" s="2">
        <f t="shared" si="30"/>
        <v>2.4632214117283158</v>
      </c>
      <c r="AH59">
        <v>25</v>
      </c>
      <c r="AI59">
        <f>AF59-(AI60+AI61)</f>
        <v>1.4468614809657387E-2</v>
      </c>
      <c r="AJ59">
        <f t="shared" si="46"/>
        <v>5.7874459238629547E-4</v>
      </c>
    </row>
    <row r="60" spans="1:37" x14ac:dyDescent="0.2">
      <c r="A60" t="s">
        <v>44</v>
      </c>
      <c r="B60">
        <v>2005</v>
      </c>
      <c r="C60">
        <f t="shared" si="31"/>
        <v>20</v>
      </c>
      <c r="D60">
        <v>2</v>
      </c>
      <c r="E60">
        <v>2</v>
      </c>
      <c r="F60" t="s">
        <v>39</v>
      </c>
      <c r="G60">
        <v>25</v>
      </c>
      <c r="H60">
        <v>16</v>
      </c>
      <c r="I60">
        <f t="shared" si="39"/>
        <v>0.64</v>
      </c>
      <c r="J60">
        <v>4</v>
      </c>
      <c r="L60">
        <v>18</v>
      </c>
      <c r="M60">
        <v>1.8320000000000001</v>
      </c>
      <c r="N60">
        <v>33.478999999999999</v>
      </c>
      <c r="O60">
        <f t="shared" si="35"/>
        <v>31.646999999999998</v>
      </c>
      <c r="P60">
        <v>25.85</v>
      </c>
      <c r="Q60">
        <f t="shared" si="36"/>
        <v>24.018000000000001</v>
      </c>
      <c r="R60">
        <f t="shared" si="40"/>
        <v>7.6289999999999978</v>
      </c>
      <c r="S60">
        <f t="shared" si="41"/>
        <v>24.106550383922638</v>
      </c>
      <c r="T60">
        <v>21</v>
      </c>
      <c r="U60">
        <v>31.08</v>
      </c>
      <c r="V60">
        <v>33.701799999999999</v>
      </c>
      <c r="W60">
        <f t="shared" si="42"/>
        <v>2.6218000000000004</v>
      </c>
      <c r="X60">
        <f t="shared" si="43"/>
        <v>2621.8</v>
      </c>
      <c r="Y60">
        <v>33.5931</v>
      </c>
      <c r="Z60">
        <f t="shared" si="44"/>
        <v>2.5131000000000014</v>
      </c>
      <c r="AA60">
        <f t="shared" si="37"/>
        <v>2513.1000000000013</v>
      </c>
      <c r="AB60">
        <f t="shared" si="45"/>
        <v>108.69999999999891</v>
      </c>
      <c r="AC60">
        <v>0.75469284577388129</v>
      </c>
      <c r="AD60">
        <f t="shared" si="38"/>
        <v>4.146006560378324</v>
      </c>
      <c r="AE60">
        <f t="shared" si="1"/>
        <v>4.6105927225570049</v>
      </c>
      <c r="AF60">
        <f t="shared" si="47"/>
        <v>3.4795813424908929E-2</v>
      </c>
      <c r="AG60" s="2">
        <f t="shared" si="30"/>
        <v>0.86989533562272325</v>
      </c>
      <c r="AH60">
        <v>15</v>
      </c>
      <c r="AI60">
        <f>AF60-AF61</f>
        <v>-8.2229472165575648E-3</v>
      </c>
      <c r="AJ60">
        <f t="shared" si="46"/>
        <v>-5.4819648110383768E-4</v>
      </c>
    </row>
    <row r="61" spans="1:37" x14ac:dyDescent="0.2">
      <c r="A61" t="s">
        <v>44</v>
      </c>
      <c r="B61">
        <v>2005</v>
      </c>
      <c r="C61">
        <f t="shared" si="31"/>
        <v>20</v>
      </c>
      <c r="D61">
        <v>2</v>
      </c>
      <c r="E61">
        <v>2</v>
      </c>
      <c r="F61" t="s">
        <v>40</v>
      </c>
      <c r="G61">
        <v>10</v>
      </c>
      <c r="H61">
        <v>9</v>
      </c>
      <c r="I61">
        <f t="shared" si="39"/>
        <v>0.9</v>
      </c>
      <c r="J61">
        <v>5.2</v>
      </c>
      <c r="L61">
        <v>19</v>
      </c>
      <c r="M61">
        <v>1.83</v>
      </c>
      <c r="N61">
        <v>33.994</v>
      </c>
      <c r="O61">
        <f t="shared" si="35"/>
        <v>32.164000000000001</v>
      </c>
      <c r="P61">
        <v>27.936</v>
      </c>
      <c r="Q61">
        <f t="shared" si="36"/>
        <v>26.106000000000002</v>
      </c>
      <c r="R61">
        <f t="shared" si="40"/>
        <v>6.0579999999999998</v>
      </c>
      <c r="S61">
        <f t="shared" si="41"/>
        <v>18.834722049496332</v>
      </c>
      <c r="T61">
        <v>5</v>
      </c>
      <c r="U61">
        <v>22.166899999999998</v>
      </c>
      <c r="V61">
        <v>26.739899999999999</v>
      </c>
      <c r="W61">
        <f t="shared" si="42"/>
        <v>4.5730000000000004</v>
      </c>
      <c r="X61">
        <f t="shared" si="43"/>
        <v>4573</v>
      </c>
      <c r="Y61">
        <v>26.5563</v>
      </c>
      <c r="Z61">
        <f t="shared" si="44"/>
        <v>4.389400000000002</v>
      </c>
      <c r="AA61">
        <f t="shared" si="37"/>
        <v>4389.4000000000024</v>
      </c>
      <c r="AB61">
        <f t="shared" si="45"/>
        <v>183.59999999999764</v>
      </c>
      <c r="AC61">
        <v>0.94418669989266912</v>
      </c>
      <c r="AD61">
        <f t="shared" si="38"/>
        <v>4.0148698884757845</v>
      </c>
      <c r="AE61">
        <f t="shared" si="1"/>
        <v>4.5561710037174503</v>
      </c>
      <c r="AF61">
        <f t="shared" si="47"/>
        <v>4.3018760641466494E-2</v>
      </c>
      <c r="AG61" s="2">
        <f t="shared" ref="AG61:AG92" si="48">AF61*G61</f>
        <v>0.43018760641466491</v>
      </c>
      <c r="AH61">
        <v>10</v>
      </c>
      <c r="AI61">
        <f>AF61</f>
        <v>4.3018760641466494E-2</v>
      </c>
      <c r="AJ61">
        <f t="shared" si="46"/>
        <v>4.3018760641466494E-3</v>
      </c>
      <c r="AK61" t="s">
        <v>47</v>
      </c>
    </row>
    <row r="62" spans="1:37" x14ac:dyDescent="0.2">
      <c r="A62" t="s">
        <v>44</v>
      </c>
      <c r="B62">
        <v>2005</v>
      </c>
      <c r="C62">
        <f t="shared" si="31"/>
        <v>20</v>
      </c>
      <c r="D62">
        <v>2</v>
      </c>
      <c r="E62">
        <v>3</v>
      </c>
      <c r="F62" t="s">
        <v>41</v>
      </c>
      <c r="G62">
        <v>50</v>
      </c>
      <c r="H62">
        <v>19.3</v>
      </c>
      <c r="I62">
        <f t="shared" si="39"/>
        <v>0.38600000000000001</v>
      </c>
      <c r="J62">
        <v>4</v>
      </c>
      <c r="K62">
        <v>24.861999999999998</v>
      </c>
      <c r="L62">
        <v>20</v>
      </c>
      <c r="M62">
        <v>1.835</v>
      </c>
      <c r="N62">
        <v>33.909999999999997</v>
      </c>
      <c r="O62">
        <f t="shared" si="35"/>
        <v>32.074999999999996</v>
      </c>
      <c r="P62">
        <v>24.818999999999999</v>
      </c>
      <c r="Q62">
        <f t="shared" si="36"/>
        <v>22.983999999999998</v>
      </c>
      <c r="R62">
        <f t="shared" si="40"/>
        <v>9.0909999999999975</v>
      </c>
      <c r="S62">
        <f t="shared" si="41"/>
        <v>28.342946219797344</v>
      </c>
      <c r="T62">
        <v>1</v>
      </c>
      <c r="U62">
        <v>27.9679</v>
      </c>
      <c r="V62">
        <v>31.0623</v>
      </c>
      <c r="W62">
        <f t="shared" si="42"/>
        <v>3.0944000000000003</v>
      </c>
      <c r="X62">
        <f t="shared" si="43"/>
        <v>3094.4</v>
      </c>
      <c r="Y62">
        <v>30.893799999999999</v>
      </c>
      <c r="Z62">
        <f t="shared" si="44"/>
        <v>2.9258999999999986</v>
      </c>
      <c r="AA62">
        <f t="shared" si="37"/>
        <v>2925.8999999999987</v>
      </c>
      <c r="AB62">
        <f t="shared" si="45"/>
        <v>168.50000000000136</v>
      </c>
      <c r="AC62">
        <v>1.0202627626905951</v>
      </c>
      <c r="AD62">
        <f t="shared" si="38"/>
        <v>5.4453205791106951</v>
      </c>
      <c r="AE62">
        <f t="shared" si="1"/>
        <v>5.1498080403309388</v>
      </c>
      <c r="AF62">
        <f t="shared" si="47"/>
        <v>5.2541573785542833E-2</v>
      </c>
      <c r="AG62" s="2">
        <f t="shared" si="48"/>
        <v>2.6270786892771416</v>
      </c>
      <c r="AH62">
        <v>25</v>
      </c>
      <c r="AI62">
        <f>AF62-(AI63+AI64)</f>
        <v>1.278028276963275E-2</v>
      </c>
      <c r="AJ62">
        <f t="shared" si="46"/>
        <v>5.1121131078531005E-4</v>
      </c>
    </row>
    <row r="63" spans="1:37" x14ac:dyDescent="0.2">
      <c r="A63" t="s">
        <v>44</v>
      </c>
      <c r="B63">
        <v>2005</v>
      </c>
      <c r="C63">
        <f t="shared" si="31"/>
        <v>20</v>
      </c>
      <c r="D63">
        <v>2</v>
      </c>
      <c r="E63">
        <v>3</v>
      </c>
      <c r="F63" t="s">
        <v>39</v>
      </c>
      <c r="G63">
        <v>25</v>
      </c>
      <c r="H63">
        <v>11.7</v>
      </c>
      <c r="I63">
        <f t="shared" si="39"/>
        <v>0.46799999999999997</v>
      </c>
      <c r="J63">
        <v>4</v>
      </c>
      <c r="L63">
        <v>21</v>
      </c>
      <c r="M63">
        <v>1.851</v>
      </c>
      <c r="N63">
        <v>31.852</v>
      </c>
      <c r="O63">
        <f t="shared" si="35"/>
        <v>30.001000000000001</v>
      </c>
      <c r="P63">
        <v>24.648</v>
      </c>
      <c r="Q63">
        <f t="shared" si="36"/>
        <v>22.797000000000001</v>
      </c>
      <c r="R63">
        <f t="shared" si="40"/>
        <v>7.2040000000000006</v>
      </c>
      <c r="S63">
        <f t="shared" si="41"/>
        <v>24.01253291556948</v>
      </c>
      <c r="T63">
        <v>14</v>
      </c>
      <c r="U63">
        <v>27.799800000000001</v>
      </c>
      <c r="V63">
        <v>30.734500000000001</v>
      </c>
      <c r="W63">
        <f t="shared" si="42"/>
        <v>2.9346999999999994</v>
      </c>
      <c r="X63">
        <f t="shared" si="43"/>
        <v>2934.6999999999994</v>
      </c>
      <c r="Y63">
        <v>30.566299999999998</v>
      </c>
      <c r="Z63">
        <f t="shared" si="44"/>
        <v>2.7664999999999971</v>
      </c>
      <c r="AA63">
        <f t="shared" si="37"/>
        <v>2766.4999999999973</v>
      </c>
      <c r="AB63">
        <f t="shared" si="45"/>
        <v>168.20000000000209</v>
      </c>
      <c r="AC63">
        <v>0.75469284577388129</v>
      </c>
      <c r="AD63">
        <f t="shared" si="38"/>
        <v>5.7314205881351459</v>
      </c>
      <c r="AE63">
        <f t="shared" si="1"/>
        <v>5.268539544076086</v>
      </c>
      <c r="AF63">
        <f t="shared" si="47"/>
        <v>3.9761291015910083E-2</v>
      </c>
      <c r="AG63" s="2">
        <f t="shared" si="48"/>
        <v>0.99403227539775207</v>
      </c>
      <c r="AH63">
        <v>15</v>
      </c>
      <c r="AI63">
        <f t="shared" ref="AI63" si="49">AF63-AF64</f>
        <v>-8.8431350164125885E-3</v>
      </c>
      <c r="AJ63">
        <f t="shared" si="46"/>
        <v>-5.8954233442750595E-4</v>
      </c>
    </row>
    <row r="64" spans="1:37" x14ac:dyDescent="0.2">
      <c r="A64" t="s">
        <v>44</v>
      </c>
      <c r="B64">
        <v>2005</v>
      </c>
      <c r="C64">
        <f t="shared" si="31"/>
        <v>20</v>
      </c>
      <c r="D64">
        <v>2</v>
      </c>
      <c r="E64">
        <v>3</v>
      </c>
      <c r="F64" t="s">
        <v>40</v>
      </c>
      <c r="G64">
        <v>10</v>
      </c>
      <c r="H64">
        <v>9.5</v>
      </c>
      <c r="I64">
        <f t="shared" si="39"/>
        <v>0.95</v>
      </c>
      <c r="J64">
        <v>4</v>
      </c>
      <c r="L64">
        <v>22</v>
      </c>
      <c r="M64">
        <v>1.83</v>
      </c>
      <c r="N64">
        <v>33.115000000000002</v>
      </c>
      <c r="O64">
        <f t="shared" si="35"/>
        <v>31.285000000000004</v>
      </c>
      <c r="P64">
        <v>25.527000000000001</v>
      </c>
      <c r="Q64">
        <f t="shared" si="36"/>
        <v>23.697000000000003</v>
      </c>
      <c r="R64">
        <f t="shared" si="40"/>
        <v>7.588000000000001</v>
      </c>
      <c r="S64">
        <f t="shared" si="41"/>
        <v>24.254435032763304</v>
      </c>
      <c r="T64">
        <v>8</v>
      </c>
      <c r="U64">
        <v>27.346</v>
      </c>
      <c r="V64">
        <v>30.6693</v>
      </c>
      <c r="W64">
        <f t="shared" si="42"/>
        <v>3.3232999999999997</v>
      </c>
      <c r="X64">
        <f t="shared" si="43"/>
        <v>3323.2999999999997</v>
      </c>
      <c r="Y64">
        <v>30.488499999999998</v>
      </c>
      <c r="Z64">
        <f t="shared" si="44"/>
        <v>3.1424999999999983</v>
      </c>
      <c r="AA64">
        <f t="shared" si="37"/>
        <v>3142.4999999999982</v>
      </c>
      <c r="AB64">
        <f t="shared" si="45"/>
        <v>180.80000000000155</v>
      </c>
      <c r="AC64">
        <v>0.94418669989266912</v>
      </c>
      <c r="AD64">
        <f t="shared" si="38"/>
        <v>5.4403755303463894</v>
      </c>
      <c r="AE64">
        <f t="shared" si="1"/>
        <v>5.1477558450937515</v>
      </c>
      <c r="AF64">
        <f t="shared" si="47"/>
        <v>4.8604426032322672E-2</v>
      </c>
      <c r="AG64" s="2">
        <f t="shared" si="48"/>
        <v>0.48604426032322673</v>
      </c>
      <c r="AH64">
        <v>10</v>
      </c>
      <c r="AI64">
        <f t="shared" ref="AI64:AI82" si="50">AF64</f>
        <v>4.8604426032322672E-2</v>
      </c>
      <c r="AJ64">
        <f t="shared" si="46"/>
        <v>4.8604426032322675E-3</v>
      </c>
    </row>
    <row r="65" spans="1:37" x14ac:dyDescent="0.2">
      <c r="A65" t="s">
        <v>44</v>
      </c>
      <c r="B65">
        <v>2023</v>
      </c>
      <c r="C65">
        <f t="shared" si="31"/>
        <v>2</v>
      </c>
      <c r="D65">
        <v>3</v>
      </c>
      <c r="E65">
        <v>1</v>
      </c>
      <c r="F65" t="s">
        <v>41</v>
      </c>
      <c r="G65">
        <v>50</v>
      </c>
      <c r="H65">
        <v>14</v>
      </c>
      <c r="I65">
        <f t="shared" si="39"/>
        <v>0.28000000000000003</v>
      </c>
      <c r="J65">
        <v>4</v>
      </c>
      <c r="L65">
        <v>24</v>
      </c>
      <c r="M65">
        <v>1.8380000000000001</v>
      </c>
      <c r="N65">
        <v>34.206000000000003</v>
      </c>
      <c r="O65">
        <f t="shared" si="35"/>
        <v>32.368000000000002</v>
      </c>
      <c r="P65">
        <v>24.452000000000002</v>
      </c>
      <c r="Q65">
        <f t="shared" si="36"/>
        <v>22.614000000000001</v>
      </c>
      <c r="R65">
        <f>O65-Q65</f>
        <v>9.7540000000000013</v>
      </c>
      <c r="S65">
        <f>((O65-Q65)/O65)*100</f>
        <v>30.13470093919921</v>
      </c>
      <c r="T65">
        <v>3</v>
      </c>
      <c r="U65">
        <v>28.966699999999999</v>
      </c>
      <c r="V65">
        <v>31.771799999999999</v>
      </c>
      <c r="W65">
        <f>V65-U65</f>
        <v>2.8050999999999995</v>
      </c>
      <c r="X65">
        <f>W65*1000</f>
        <v>2805.0999999999995</v>
      </c>
      <c r="Y65">
        <v>31.621600000000001</v>
      </c>
      <c r="Z65">
        <f>Y65-U65</f>
        <v>2.6549000000000014</v>
      </c>
      <c r="AA65">
        <f>Z65*1000</f>
        <v>2654.9000000000015</v>
      </c>
      <c r="AB65">
        <f>X65-AA65</f>
        <v>150.199999999998</v>
      </c>
      <c r="AC65">
        <v>1.0202627626905951</v>
      </c>
      <c r="AD65">
        <f t="shared" si="38"/>
        <v>5.3545328152293337</v>
      </c>
      <c r="AE65">
        <f t="shared" si="1"/>
        <v>5.112131118320173</v>
      </c>
      <c r="AF65">
        <f t="shared" si="47"/>
        <v>5.2157170180139011E-2</v>
      </c>
      <c r="AG65" s="2">
        <f t="shared" si="48"/>
        <v>2.6078585090069506</v>
      </c>
      <c r="AH65">
        <v>25</v>
      </c>
      <c r="AI65">
        <f t="shared" si="50"/>
        <v>5.2157170180139011E-2</v>
      </c>
      <c r="AJ65">
        <f t="shared" si="46"/>
        <v>2.0862868072055603E-3</v>
      </c>
    </row>
    <row r="66" spans="1:37" x14ac:dyDescent="0.2">
      <c r="A66" t="s">
        <v>44</v>
      </c>
      <c r="B66">
        <v>2023</v>
      </c>
      <c r="C66">
        <f t="shared" si="31"/>
        <v>2</v>
      </c>
      <c r="D66">
        <v>3</v>
      </c>
      <c r="E66">
        <v>1</v>
      </c>
      <c r="F66" t="s">
        <v>39</v>
      </c>
      <c r="G66">
        <v>25</v>
      </c>
      <c r="H66">
        <v>15.4</v>
      </c>
      <c r="I66">
        <f t="shared" si="39"/>
        <v>0.61599999999999999</v>
      </c>
      <c r="J66">
        <v>4</v>
      </c>
      <c r="L66">
        <v>23</v>
      </c>
      <c r="M66">
        <v>1.8240000000000001</v>
      </c>
      <c r="N66">
        <v>32.247</v>
      </c>
      <c r="O66">
        <f t="shared" si="35"/>
        <v>30.422999999999998</v>
      </c>
      <c r="P66">
        <v>23.81</v>
      </c>
      <c r="Q66">
        <f t="shared" si="36"/>
        <v>21.985999999999997</v>
      </c>
      <c r="R66">
        <f t="shared" si="40"/>
        <v>8.4370000000000012</v>
      </c>
      <c r="S66">
        <f t="shared" si="41"/>
        <v>27.732307793445756</v>
      </c>
      <c r="T66">
        <v>11</v>
      </c>
      <c r="U66">
        <v>27.441600000000001</v>
      </c>
      <c r="V66">
        <v>31.2515</v>
      </c>
      <c r="W66">
        <f t="shared" si="42"/>
        <v>3.809899999999999</v>
      </c>
      <c r="X66">
        <f t="shared" si="43"/>
        <v>3809.8999999999987</v>
      </c>
      <c r="Y66">
        <v>31.083400000000001</v>
      </c>
      <c r="Z66">
        <f t="shared" si="44"/>
        <v>3.6417999999999999</v>
      </c>
      <c r="AA66">
        <f t="shared" si="37"/>
        <v>3641.7999999999997</v>
      </c>
      <c r="AB66">
        <f t="shared" si="45"/>
        <v>168.099999999999</v>
      </c>
      <c r="AC66">
        <v>0.75469284577388129</v>
      </c>
      <c r="AD66">
        <f t="shared" si="38"/>
        <v>4.4121892963069644</v>
      </c>
      <c r="AE66">
        <f t="shared" si="1"/>
        <v>4.7210585579673907</v>
      </c>
      <c r="AF66">
        <f t="shared" si="47"/>
        <v>3.5629491181775462E-2</v>
      </c>
      <c r="AG66" s="2">
        <f t="shared" si="48"/>
        <v>0.89073727954438653</v>
      </c>
      <c r="AH66">
        <v>15</v>
      </c>
      <c r="AI66">
        <f t="shared" si="50"/>
        <v>3.5629491181775462E-2</v>
      </c>
      <c r="AJ66">
        <f t="shared" si="46"/>
        <v>2.3752994121183642E-3</v>
      </c>
    </row>
    <row r="67" spans="1:37" x14ac:dyDescent="0.2">
      <c r="A67" t="s">
        <v>44</v>
      </c>
      <c r="B67">
        <v>2023</v>
      </c>
      <c r="C67">
        <f t="shared" si="31"/>
        <v>2</v>
      </c>
      <c r="D67">
        <v>3</v>
      </c>
      <c r="E67">
        <v>1</v>
      </c>
      <c r="F67" t="s">
        <v>40</v>
      </c>
      <c r="G67">
        <v>10</v>
      </c>
      <c r="H67">
        <v>10</v>
      </c>
      <c r="I67">
        <f t="shared" si="39"/>
        <v>1</v>
      </c>
      <c r="J67">
        <v>5.2</v>
      </c>
      <c r="L67">
        <v>25</v>
      </c>
      <c r="M67">
        <v>1.829</v>
      </c>
      <c r="N67">
        <v>34.110999999999997</v>
      </c>
      <c r="O67">
        <f t="shared" si="35"/>
        <v>32.281999999999996</v>
      </c>
      <c r="P67">
        <v>24.652999999999999</v>
      </c>
      <c r="Q67">
        <f t="shared" si="36"/>
        <v>22.823999999999998</v>
      </c>
      <c r="R67">
        <f t="shared" si="40"/>
        <v>9.4579999999999984</v>
      </c>
      <c r="S67">
        <f t="shared" si="41"/>
        <v>29.298060838857566</v>
      </c>
      <c r="T67">
        <v>10</v>
      </c>
      <c r="U67">
        <v>28.569900000000001</v>
      </c>
      <c r="V67">
        <v>32.132399999999997</v>
      </c>
      <c r="W67">
        <f t="shared" si="42"/>
        <v>3.5624999999999964</v>
      </c>
      <c r="X67">
        <f t="shared" si="43"/>
        <v>3562.4999999999964</v>
      </c>
      <c r="Y67">
        <v>31.986000000000001</v>
      </c>
      <c r="Z67">
        <f t="shared" si="44"/>
        <v>3.4161000000000001</v>
      </c>
      <c r="AA67">
        <f t="shared" si="37"/>
        <v>3416.1000000000004</v>
      </c>
      <c r="AB67">
        <f t="shared" si="45"/>
        <v>146.399999999996</v>
      </c>
      <c r="AC67">
        <v>0.94418669989266912</v>
      </c>
      <c r="AD67">
        <f t="shared" si="38"/>
        <v>4.1094736842104185</v>
      </c>
      <c r="AE67">
        <f t="shared" si="1"/>
        <v>4.5954315789473235</v>
      </c>
      <c r="AF67">
        <f t="shared" si="47"/>
        <v>4.3389453771088306E-2</v>
      </c>
      <c r="AG67" s="2">
        <f t="shared" si="48"/>
        <v>0.43389453771088304</v>
      </c>
      <c r="AH67">
        <v>10</v>
      </c>
      <c r="AI67">
        <f t="shared" si="50"/>
        <v>4.3389453771088306E-2</v>
      </c>
      <c r="AJ67">
        <f t="shared" si="46"/>
        <v>4.3389453771088306E-3</v>
      </c>
    </row>
    <row r="68" spans="1:37" x14ac:dyDescent="0.2">
      <c r="A68" t="s">
        <v>44</v>
      </c>
      <c r="B68">
        <v>2023</v>
      </c>
      <c r="C68">
        <f t="shared" si="31"/>
        <v>2</v>
      </c>
      <c r="D68">
        <v>3</v>
      </c>
      <c r="E68">
        <v>2</v>
      </c>
      <c r="F68" t="s">
        <v>41</v>
      </c>
      <c r="G68">
        <v>50</v>
      </c>
      <c r="H68">
        <v>14.5</v>
      </c>
      <c r="I68">
        <f t="shared" si="39"/>
        <v>0.28999999999999998</v>
      </c>
      <c r="J68">
        <v>4</v>
      </c>
      <c r="L68">
        <v>26</v>
      </c>
      <c r="M68">
        <v>1.8169999999999999</v>
      </c>
      <c r="N68">
        <v>35.280999999999999</v>
      </c>
      <c r="O68">
        <f t="shared" si="35"/>
        <v>33.463999999999999</v>
      </c>
      <c r="P68">
        <v>24.481000000000002</v>
      </c>
      <c r="Q68">
        <f t="shared" si="36"/>
        <v>22.664000000000001</v>
      </c>
      <c r="R68">
        <f t="shared" si="40"/>
        <v>10.799999999999997</v>
      </c>
      <c r="S68">
        <f t="shared" si="41"/>
        <v>32.273487927324879</v>
      </c>
      <c r="T68">
        <v>16</v>
      </c>
      <c r="U68">
        <v>28.4529</v>
      </c>
      <c r="V68">
        <v>30.911899999999999</v>
      </c>
      <c r="W68">
        <f t="shared" si="42"/>
        <v>2.4589999999999996</v>
      </c>
      <c r="X68">
        <f t="shared" si="43"/>
        <v>2458.9999999999995</v>
      </c>
      <c r="Y68">
        <v>30.782</v>
      </c>
      <c r="Z68">
        <f t="shared" si="44"/>
        <v>2.3291000000000004</v>
      </c>
      <c r="AA68">
        <f t="shared" si="37"/>
        <v>2329.1000000000004</v>
      </c>
      <c r="AB68">
        <f t="shared" si="45"/>
        <v>129.89999999999918</v>
      </c>
      <c r="AC68">
        <v>1.0202627626905951</v>
      </c>
      <c r="AD68">
        <f t="shared" si="38"/>
        <v>5.2826352175680844</v>
      </c>
      <c r="AE68">
        <f t="shared" ref="AE68:AE108" si="51">0.415*AD68+2.89</f>
        <v>5.0822936152907552</v>
      </c>
      <c r="AF68">
        <f t="shared" si="47"/>
        <v>5.1852749247413184E-2</v>
      </c>
      <c r="AG68" s="2">
        <f t="shared" si="48"/>
        <v>2.5926374623706594</v>
      </c>
      <c r="AH68">
        <v>25</v>
      </c>
      <c r="AI68">
        <f t="shared" si="50"/>
        <v>5.1852749247413184E-2</v>
      </c>
      <c r="AJ68">
        <f t="shared" si="46"/>
        <v>2.0741099698965274E-3</v>
      </c>
    </row>
    <row r="69" spans="1:37" x14ac:dyDescent="0.2">
      <c r="A69" t="s">
        <v>44</v>
      </c>
      <c r="B69">
        <v>2023</v>
      </c>
      <c r="C69">
        <f t="shared" si="31"/>
        <v>2</v>
      </c>
      <c r="D69">
        <v>3</v>
      </c>
      <c r="E69">
        <v>2</v>
      </c>
      <c r="F69" t="s">
        <v>39</v>
      </c>
      <c r="G69">
        <v>25</v>
      </c>
      <c r="H69">
        <v>10.5</v>
      </c>
      <c r="I69">
        <f t="shared" si="39"/>
        <v>0.42</v>
      </c>
      <c r="J69">
        <v>4</v>
      </c>
      <c r="L69">
        <v>27</v>
      </c>
      <c r="M69">
        <v>1.839</v>
      </c>
      <c r="N69">
        <v>36.270000000000003</v>
      </c>
      <c r="O69">
        <f t="shared" si="35"/>
        <v>34.431000000000004</v>
      </c>
      <c r="P69">
        <v>25.981000000000002</v>
      </c>
      <c r="Q69">
        <f t="shared" si="36"/>
        <v>24.142000000000003</v>
      </c>
      <c r="R69">
        <f t="shared" si="40"/>
        <v>10.289000000000001</v>
      </c>
      <c r="S69">
        <f t="shared" si="41"/>
        <v>29.882954314425952</v>
      </c>
      <c r="T69">
        <v>20</v>
      </c>
      <c r="U69">
        <v>28.529499999999999</v>
      </c>
      <c r="V69">
        <v>31.598400000000002</v>
      </c>
      <c r="W69">
        <f t="shared" si="42"/>
        <v>3.0689000000000028</v>
      </c>
      <c r="X69">
        <f t="shared" si="43"/>
        <v>3068.9000000000028</v>
      </c>
      <c r="Y69">
        <v>31.446300000000001</v>
      </c>
      <c r="Z69">
        <f t="shared" si="44"/>
        <v>2.9168000000000021</v>
      </c>
      <c r="AA69">
        <f t="shared" si="37"/>
        <v>2916.800000000002</v>
      </c>
      <c r="AB69">
        <f t="shared" si="45"/>
        <v>152.10000000000082</v>
      </c>
      <c r="AC69">
        <v>0.75469284577388129</v>
      </c>
      <c r="AD69">
        <f t="shared" si="38"/>
        <v>4.9561732216755408</v>
      </c>
      <c r="AE69">
        <f t="shared" si="51"/>
        <v>4.9468118869953495</v>
      </c>
      <c r="AF69">
        <f t="shared" si="47"/>
        <v>3.7333235405045843E-2</v>
      </c>
      <c r="AG69" s="2">
        <f t="shared" si="48"/>
        <v>0.93333088512614604</v>
      </c>
      <c r="AH69">
        <v>15</v>
      </c>
      <c r="AI69">
        <f t="shared" si="50"/>
        <v>3.7333235405045843E-2</v>
      </c>
      <c r="AJ69">
        <f t="shared" si="46"/>
        <v>2.4888823603363896E-3</v>
      </c>
    </row>
    <row r="70" spans="1:37" x14ac:dyDescent="0.2">
      <c r="A70" t="s">
        <v>44</v>
      </c>
      <c r="B70">
        <v>2023</v>
      </c>
      <c r="C70">
        <f t="shared" si="31"/>
        <v>2</v>
      </c>
      <c r="D70">
        <v>3</v>
      </c>
      <c r="E70">
        <v>2</v>
      </c>
      <c r="F70" t="s">
        <v>40</v>
      </c>
      <c r="G70">
        <v>10</v>
      </c>
      <c r="H70">
        <v>7.5</v>
      </c>
      <c r="I70">
        <f t="shared" si="39"/>
        <v>0.75</v>
      </c>
      <c r="J70">
        <v>4</v>
      </c>
      <c r="L70">
        <v>28</v>
      </c>
      <c r="M70">
        <v>1.84</v>
      </c>
      <c r="N70">
        <v>32.054000000000002</v>
      </c>
      <c r="O70">
        <f t="shared" si="35"/>
        <v>30.214000000000002</v>
      </c>
      <c r="P70">
        <v>22.687999999999999</v>
      </c>
      <c r="Q70">
        <f t="shared" si="36"/>
        <v>20.847999999999999</v>
      </c>
      <c r="R70">
        <f t="shared" si="40"/>
        <v>9.3660000000000032</v>
      </c>
      <c r="S70">
        <f t="shared" si="41"/>
        <v>30.998874693850542</v>
      </c>
      <c r="T70">
        <v>15</v>
      </c>
      <c r="U70">
        <v>27.837800000000001</v>
      </c>
      <c r="V70">
        <v>31.334299999999999</v>
      </c>
      <c r="W70">
        <f t="shared" si="42"/>
        <v>3.4964999999999975</v>
      </c>
      <c r="X70">
        <f t="shared" si="43"/>
        <v>3496.4999999999973</v>
      </c>
      <c r="Y70">
        <v>31.177199999999999</v>
      </c>
      <c r="Z70">
        <f t="shared" si="44"/>
        <v>3.3393999999999977</v>
      </c>
      <c r="AA70">
        <f t="shared" si="37"/>
        <v>3339.3999999999978</v>
      </c>
      <c r="AB70">
        <f t="shared" si="45"/>
        <v>157.09999999999945</v>
      </c>
      <c r="AC70">
        <v>0.94418669989266912</v>
      </c>
      <c r="AD70">
        <f t="shared" si="38"/>
        <v>4.4930644930644812</v>
      </c>
      <c r="AE70">
        <f t="shared" si="51"/>
        <v>4.7546217646217599</v>
      </c>
      <c r="AF70">
        <f t="shared" si="47"/>
        <v>4.4892506331760791E-2</v>
      </c>
      <c r="AG70" s="2">
        <f t="shared" si="48"/>
        <v>0.4489250633176079</v>
      </c>
      <c r="AH70">
        <v>10</v>
      </c>
      <c r="AI70">
        <f t="shared" si="50"/>
        <v>4.4892506331760791E-2</v>
      </c>
      <c r="AJ70">
        <f t="shared" si="46"/>
        <v>4.4892506331760795E-3</v>
      </c>
    </row>
    <row r="71" spans="1:37" x14ac:dyDescent="0.2">
      <c r="A71" t="s">
        <v>44</v>
      </c>
      <c r="B71">
        <v>2023</v>
      </c>
      <c r="C71">
        <f t="shared" si="31"/>
        <v>2</v>
      </c>
      <c r="D71">
        <v>3</v>
      </c>
      <c r="E71">
        <v>3</v>
      </c>
      <c r="F71" t="s">
        <v>41</v>
      </c>
      <c r="G71">
        <v>50</v>
      </c>
      <c r="H71">
        <v>20.2</v>
      </c>
      <c r="I71">
        <f t="shared" si="39"/>
        <v>0.40399999999999997</v>
      </c>
      <c r="J71">
        <v>4</v>
      </c>
      <c r="L71">
        <v>29</v>
      </c>
      <c r="M71">
        <v>1.83</v>
      </c>
      <c r="N71">
        <v>33.47</v>
      </c>
      <c r="O71">
        <f t="shared" si="35"/>
        <v>31.64</v>
      </c>
      <c r="P71">
        <v>25.891999999999999</v>
      </c>
      <c r="Q71">
        <f t="shared" si="36"/>
        <v>24.061999999999998</v>
      </c>
      <c r="R71">
        <f t="shared" si="40"/>
        <v>7.578000000000003</v>
      </c>
      <c r="S71">
        <f t="shared" si="41"/>
        <v>23.950695322376745</v>
      </c>
      <c r="T71">
        <v>17</v>
      </c>
      <c r="U71">
        <v>28.976900000000001</v>
      </c>
      <c r="V71">
        <v>32.813400000000001</v>
      </c>
      <c r="W71">
        <f t="shared" si="42"/>
        <v>3.8365000000000009</v>
      </c>
      <c r="X71">
        <f t="shared" si="43"/>
        <v>3836.5000000000009</v>
      </c>
      <c r="Y71">
        <v>32.641500000000001</v>
      </c>
      <c r="Z71">
        <f t="shared" si="44"/>
        <v>3.6646000000000001</v>
      </c>
      <c r="AA71">
        <f t="shared" si="37"/>
        <v>3664.6</v>
      </c>
      <c r="AB71">
        <f t="shared" si="45"/>
        <v>171.900000000001</v>
      </c>
      <c r="AC71">
        <v>1.0202627626905951</v>
      </c>
      <c r="AD71">
        <f t="shared" si="38"/>
        <v>4.480646422520552</v>
      </c>
      <c r="AE71">
        <f t="shared" si="51"/>
        <v>4.749468265346029</v>
      </c>
      <c r="AF71">
        <f t="shared" si="47"/>
        <v>4.8457056137132477E-2</v>
      </c>
      <c r="AG71" s="2">
        <f t="shared" si="48"/>
        <v>2.422852806856624</v>
      </c>
      <c r="AH71">
        <v>25</v>
      </c>
      <c r="AI71">
        <f t="shared" si="50"/>
        <v>4.8457056137132477E-2</v>
      </c>
      <c r="AJ71">
        <f t="shared" si="46"/>
        <v>1.9382822454852991E-3</v>
      </c>
    </row>
    <row r="72" spans="1:37" x14ac:dyDescent="0.2">
      <c r="A72" t="s">
        <v>44</v>
      </c>
      <c r="B72">
        <v>2023</v>
      </c>
      <c r="C72">
        <f t="shared" si="31"/>
        <v>2</v>
      </c>
      <c r="D72">
        <v>3</v>
      </c>
      <c r="E72">
        <v>3</v>
      </c>
      <c r="F72" t="s">
        <v>39</v>
      </c>
      <c r="G72">
        <v>25</v>
      </c>
      <c r="H72">
        <v>19</v>
      </c>
      <c r="I72">
        <f t="shared" si="39"/>
        <v>0.76</v>
      </c>
      <c r="J72">
        <v>4</v>
      </c>
      <c r="L72">
        <v>30</v>
      </c>
      <c r="M72">
        <v>1.851</v>
      </c>
      <c r="N72">
        <v>33.716999999999999</v>
      </c>
      <c r="O72">
        <f t="shared" si="35"/>
        <v>31.866</v>
      </c>
      <c r="P72">
        <v>26.134</v>
      </c>
      <c r="Q72">
        <f t="shared" si="36"/>
        <v>24.283000000000001</v>
      </c>
      <c r="R72">
        <f t="shared" si="40"/>
        <v>7.5829999999999984</v>
      </c>
      <c r="S72">
        <f t="shared" si="41"/>
        <v>23.796522939810451</v>
      </c>
      <c r="T72">
        <v>7</v>
      </c>
      <c r="U72">
        <v>27.2575</v>
      </c>
      <c r="V72">
        <v>30.534199999999998</v>
      </c>
      <c r="W72">
        <f t="shared" si="42"/>
        <v>3.2766999999999982</v>
      </c>
      <c r="X72">
        <f t="shared" si="43"/>
        <v>3276.699999999998</v>
      </c>
      <c r="Y72">
        <v>30.399000000000001</v>
      </c>
      <c r="Z72">
        <f t="shared" si="44"/>
        <v>3.1415000000000006</v>
      </c>
      <c r="AA72">
        <f t="shared" si="37"/>
        <v>3141.5000000000005</v>
      </c>
      <c r="AB72">
        <f t="shared" si="45"/>
        <v>135.19999999999754</v>
      </c>
      <c r="AC72">
        <v>0.75469284577388129</v>
      </c>
      <c r="AD72">
        <f t="shared" si="38"/>
        <v>4.1261024811547484</v>
      </c>
      <c r="AE72">
        <f t="shared" si="51"/>
        <v>4.6023325296792201</v>
      </c>
      <c r="AF72">
        <f t="shared" si="47"/>
        <v>3.4733474340213163E-2</v>
      </c>
      <c r="AG72" s="2">
        <f t="shared" si="48"/>
        <v>0.86833685850532905</v>
      </c>
      <c r="AH72">
        <v>15</v>
      </c>
      <c r="AI72">
        <f t="shared" si="50"/>
        <v>3.4733474340213163E-2</v>
      </c>
      <c r="AJ72">
        <f t="shared" si="46"/>
        <v>2.3155649560142109E-3</v>
      </c>
    </row>
    <row r="73" spans="1:37" x14ac:dyDescent="0.2">
      <c r="A73" t="s">
        <v>44</v>
      </c>
      <c r="B73">
        <v>2023</v>
      </c>
      <c r="C73">
        <f t="shared" si="31"/>
        <v>2</v>
      </c>
      <c r="D73">
        <v>3</v>
      </c>
      <c r="E73">
        <v>3</v>
      </c>
      <c r="F73" t="s">
        <v>40</v>
      </c>
      <c r="G73">
        <v>10</v>
      </c>
      <c r="H73">
        <v>10</v>
      </c>
      <c r="I73">
        <f t="shared" si="39"/>
        <v>1</v>
      </c>
      <c r="J73">
        <v>5.2</v>
      </c>
      <c r="L73">
        <v>31</v>
      </c>
      <c r="M73">
        <v>1.835</v>
      </c>
      <c r="N73">
        <v>36.220999999999997</v>
      </c>
      <c r="O73">
        <f t="shared" si="35"/>
        <v>34.385999999999996</v>
      </c>
      <c r="P73">
        <v>28.172999999999998</v>
      </c>
      <c r="Q73">
        <f t="shared" si="36"/>
        <v>26.337999999999997</v>
      </c>
      <c r="R73">
        <f t="shared" si="40"/>
        <v>8.0479999999999983</v>
      </c>
      <c r="S73">
        <f t="shared" si="41"/>
        <v>23.404874076659105</v>
      </c>
      <c r="T73">
        <v>13</v>
      </c>
      <c r="U73">
        <v>22.1968</v>
      </c>
      <c r="V73">
        <v>25.859100000000002</v>
      </c>
      <c r="W73">
        <f t="shared" si="42"/>
        <v>3.6623000000000019</v>
      </c>
      <c r="X73">
        <f t="shared" si="43"/>
        <v>3662.300000000002</v>
      </c>
      <c r="Y73">
        <v>25.706399999999999</v>
      </c>
      <c r="Z73">
        <f t="shared" si="44"/>
        <v>3.5095999999999989</v>
      </c>
      <c r="AA73">
        <f t="shared" si="37"/>
        <v>3509.599999999999</v>
      </c>
      <c r="AB73">
        <f t="shared" si="45"/>
        <v>152.700000000003</v>
      </c>
      <c r="AC73">
        <v>0.94418669989266912</v>
      </c>
      <c r="AD73">
        <f t="shared" si="38"/>
        <v>4.1695109630560827</v>
      </c>
      <c r="AE73">
        <f t="shared" si="51"/>
        <v>4.6203470496682746</v>
      </c>
      <c r="AF73">
        <f t="shared" si="47"/>
        <v>4.3624702331851187E-2</v>
      </c>
      <c r="AG73" s="2">
        <f t="shared" si="48"/>
        <v>0.43624702331851184</v>
      </c>
      <c r="AH73">
        <v>10</v>
      </c>
      <c r="AI73">
        <f t="shared" si="50"/>
        <v>4.3624702331851187E-2</v>
      </c>
      <c r="AJ73">
        <f t="shared" si="46"/>
        <v>4.362470233185119E-3</v>
      </c>
    </row>
    <row r="74" spans="1:37" x14ac:dyDescent="0.2">
      <c r="A74" t="s">
        <v>44</v>
      </c>
      <c r="B74">
        <v>2023</v>
      </c>
      <c r="C74">
        <f t="shared" si="31"/>
        <v>2</v>
      </c>
      <c r="D74">
        <v>4</v>
      </c>
      <c r="E74">
        <v>1</v>
      </c>
      <c r="F74" t="s">
        <v>41</v>
      </c>
      <c r="G74">
        <v>50</v>
      </c>
      <c r="H74">
        <v>23.5</v>
      </c>
      <c r="I74">
        <f t="shared" si="39"/>
        <v>0.47</v>
      </c>
      <c r="J74">
        <v>4</v>
      </c>
      <c r="L74">
        <v>32</v>
      </c>
      <c r="M74">
        <v>1.855</v>
      </c>
      <c r="N74">
        <v>32.082000000000001</v>
      </c>
      <c r="O74">
        <f t="shared" si="35"/>
        <v>30.227</v>
      </c>
      <c r="P74">
        <v>23.902000000000001</v>
      </c>
      <c r="Q74">
        <f t="shared" si="36"/>
        <v>22.047000000000001</v>
      </c>
      <c r="R74">
        <f t="shared" si="40"/>
        <v>8.18</v>
      </c>
      <c r="S74">
        <f t="shared" si="41"/>
        <v>27.061898302841829</v>
      </c>
      <c r="T74">
        <v>2</v>
      </c>
      <c r="U74">
        <v>26.6463</v>
      </c>
      <c r="V74">
        <v>29.828900000000001</v>
      </c>
      <c r="W74">
        <f t="shared" si="42"/>
        <v>3.1826000000000008</v>
      </c>
      <c r="X74">
        <f t="shared" si="43"/>
        <v>3182.6000000000008</v>
      </c>
      <c r="Y74">
        <v>29.690899999999999</v>
      </c>
      <c r="Z74">
        <f t="shared" si="44"/>
        <v>3.0445999999999991</v>
      </c>
      <c r="AA74">
        <f t="shared" si="37"/>
        <v>3044.599999999999</v>
      </c>
      <c r="AB74">
        <f t="shared" si="45"/>
        <v>138.00000000000182</v>
      </c>
      <c r="AC74">
        <v>1.0202627626905951</v>
      </c>
      <c r="AD74">
        <f t="shared" si="38"/>
        <v>4.3360774209766157</v>
      </c>
      <c r="AE74">
        <f t="shared" si="51"/>
        <v>4.6894721297052957</v>
      </c>
      <c r="AF74">
        <f t="shared" si="47"/>
        <v>4.7844937906136739E-2</v>
      </c>
      <c r="AG74" s="2">
        <f t="shared" si="48"/>
        <v>2.3922468953068368</v>
      </c>
      <c r="AH74">
        <v>25</v>
      </c>
      <c r="AI74">
        <f t="shared" si="50"/>
        <v>4.7844937906136739E-2</v>
      </c>
      <c r="AJ74">
        <f t="shared" si="46"/>
        <v>1.9137975162454696E-3</v>
      </c>
    </row>
    <row r="75" spans="1:37" x14ac:dyDescent="0.2">
      <c r="A75" t="s">
        <v>44</v>
      </c>
      <c r="B75">
        <v>2023</v>
      </c>
      <c r="C75">
        <f t="shared" si="31"/>
        <v>2</v>
      </c>
      <c r="D75">
        <v>4</v>
      </c>
      <c r="E75">
        <v>1</v>
      </c>
      <c r="F75" t="s">
        <v>39</v>
      </c>
      <c r="G75">
        <v>25</v>
      </c>
      <c r="H75">
        <v>14</v>
      </c>
      <c r="I75">
        <f t="shared" si="39"/>
        <v>0.56000000000000005</v>
      </c>
      <c r="J75">
        <v>4</v>
      </c>
      <c r="L75">
        <v>33</v>
      </c>
      <c r="M75">
        <v>1.82</v>
      </c>
      <c r="N75">
        <v>35.091999999999999</v>
      </c>
      <c r="O75">
        <f t="shared" si="35"/>
        <v>33.271999999999998</v>
      </c>
      <c r="P75">
        <v>25.937999999999999</v>
      </c>
      <c r="Q75">
        <f t="shared" si="36"/>
        <v>24.117999999999999</v>
      </c>
      <c r="R75">
        <f t="shared" si="40"/>
        <v>9.1539999999999999</v>
      </c>
      <c r="S75">
        <f t="shared" si="41"/>
        <v>27.512623226737198</v>
      </c>
      <c r="T75">
        <v>21</v>
      </c>
      <c r="U75">
        <v>31.08</v>
      </c>
      <c r="V75">
        <v>33.904600000000002</v>
      </c>
      <c r="W75">
        <f t="shared" si="42"/>
        <v>2.8246000000000038</v>
      </c>
      <c r="X75">
        <f t="shared" si="43"/>
        <v>2824.600000000004</v>
      </c>
      <c r="Y75">
        <v>33.773000000000003</v>
      </c>
      <c r="Z75">
        <f t="shared" si="44"/>
        <v>2.6930000000000049</v>
      </c>
      <c r="AA75">
        <f t="shared" si="37"/>
        <v>2693.000000000005</v>
      </c>
      <c r="AB75">
        <f t="shared" si="45"/>
        <v>131.599999999999</v>
      </c>
      <c r="AC75">
        <v>0.75469284577388129</v>
      </c>
      <c r="AD75">
        <f t="shared" si="38"/>
        <v>4.6590667705161373</v>
      </c>
      <c r="AE75">
        <f t="shared" si="51"/>
        <v>4.8235127097641968</v>
      </c>
      <c r="AF75">
        <f t="shared" si="47"/>
        <v>3.6402705335584269E-2</v>
      </c>
      <c r="AG75" s="2">
        <f t="shared" si="48"/>
        <v>0.91006763338960672</v>
      </c>
      <c r="AH75">
        <v>15</v>
      </c>
      <c r="AI75">
        <f t="shared" si="50"/>
        <v>3.6402705335584269E-2</v>
      </c>
      <c r="AJ75">
        <f t="shared" si="46"/>
        <v>2.4268470223722848E-3</v>
      </c>
    </row>
    <row r="76" spans="1:37" x14ac:dyDescent="0.2">
      <c r="A76" t="s">
        <v>44</v>
      </c>
      <c r="B76">
        <v>2023</v>
      </c>
      <c r="C76">
        <f t="shared" si="31"/>
        <v>2</v>
      </c>
      <c r="D76">
        <v>4</v>
      </c>
      <c r="E76">
        <v>1</v>
      </c>
      <c r="F76" t="s">
        <v>40</v>
      </c>
      <c r="G76">
        <v>10</v>
      </c>
      <c r="H76">
        <v>9.5</v>
      </c>
      <c r="I76">
        <f t="shared" si="39"/>
        <v>0.95</v>
      </c>
      <c r="J76">
        <v>4</v>
      </c>
      <c r="L76">
        <v>34</v>
      </c>
      <c r="M76">
        <v>1.841</v>
      </c>
      <c r="N76">
        <v>30.939</v>
      </c>
      <c r="O76">
        <f t="shared" si="35"/>
        <v>29.097999999999999</v>
      </c>
      <c r="P76">
        <v>22.206</v>
      </c>
      <c r="Q76">
        <f t="shared" si="36"/>
        <v>20.364999999999998</v>
      </c>
      <c r="R76">
        <f t="shared" si="40"/>
        <v>8.7330000000000005</v>
      </c>
      <c r="S76">
        <f t="shared" si="41"/>
        <v>30.012371984328823</v>
      </c>
      <c r="T76">
        <v>19</v>
      </c>
      <c r="U76">
        <v>28.572099999999999</v>
      </c>
      <c r="V76">
        <v>31.862200000000001</v>
      </c>
      <c r="W76">
        <f t="shared" si="42"/>
        <v>3.2901000000000025</v>
      </c>
      <c r="X76">
        <f t="shared" si="43"/>
        <v>3290.1000000000026</v>
      </c>
      <c r="Y76">
        <v>31.681899999999999</v>
      </c>
      <c r="Z76">
        <f t="shared" si="44"/>
        <v>3.1097999999999999</v>
      </c>
      <c r="AA76">
        <f t="shared" si="37"/>
        <v>3109.7999999999997</v>
      </c>
      <c r="AB76">
        <f t="shared" si="45"/>
        <v>180.30000000000291</v>
      </c>
      <c r="AC76">
        <v>0.94418669989266912</v>
      </c>
      <c r="AD76">
        <f t="shared" si="38"/>
        <v>5.4800765934166975</v>
      </c>
      <c r="AE76">
        <f t="shared" si="51"/>
        <v>5.1642317862679299</v>
      </c>
      <c r="AF76">
        <f t="shared" si="47"/>
        <v>4.8759989677571405E-2</v>
      </c>
      <c r="AG76" s="2">
        <f t="shared" si="48"/>
        <v>0.48759989677571403</v>
      </c>
      <c r="AH76">
        <v>10</v>
      </c>
      <c r="AI76">
        <f t="shared" si="50"/>
        <v>4.8759989677571405E-2</v>
      </c>
      <c r="AJ76">
        <f t="shared" si="46"/>
        <v>4.8759989677571404E-3</v>
      </c>
    </row>
    <row r="77" spans="1:37" x14ac:dyDescent="0.2">
      <c r="A77" t="s">
        <v>44</v>
      </c>
      <c r="B77">
        <v>2023</v>
      </c>
      <c r="C77">
        <f t="shared" si="31"/>
        <v>2</v>
      </c>
      <c r="D77">
        <v>4</v>
      </c>
      <c r="E77">
        <v>2</v>
      </c>
      <c r="F77" t="s">
        <v>41</v>
      </c>
      <c r="G77">
        <v>50</v>
      </c>
      <c r="H77">
        <v>19</v>
      </c>
      <c r="I77">
        <f t="shared" si="39"/>
        <v>0.38</v>
      </c>
      <c r="J77">
        <v>4</v>
      </c>
      <c r="L77">
        <v>4</v>
      </c>
      <c r="M77">
        <v>1.85</v>
      </c>
      <c r="N77">
        <v>37.363999999999997</v>
      </c>
      <c r="O77">
        <f t="shared" si="35"/>
        <v>35.513999999999996</v>
      </c>
      <c r="P77">
        <v>28.161999999999999</v>
      </c>
      <c r="Q77">
        <f t="shared" si="36"/>
        <v>26.311999999999998</v>
      </c>
      <c r="R77">
        <f t="shared" si="40"/>
        <v>9.2019999999999982</v>
      </c>
      <c r="S77">
        <f t="shared" si="41"/>
        <v>25.9109083741623</v>
      </c>
      <c r="T77">
        <v>4</v>
      </c>
      <c r="U77">
        <v>27.7805</v>
      </c>
      <c r="V77">
        <v>31.3993</v>
      </c>
      <c r="W77">
        <f t="shared" si="42"/>
        <v>3.6188000000000002</v>
      </c>
      <c r="X77">
        <f t="shared" si="43"/>
        <v>3618.8</v>
      </c>
      <c r="Y77">
        <v>31.238</v>
      </c>
      <c r="Z77">
        <f t="shared" si="44"/>
        <v>3.4574999999999996</v>
      </c>
      <c r="AA77">
        <f t="shared" si="37"/>
        <v>3457.4999999999995</v>
      </c>
      <c r="AB77">
        <f t="shared" si="45"/>
        <v>161.30000000000064</v>
      </c>
      <c r="AC77">
        <v>1.0202627626905951</v>
      </c>
      <c r="AD77">
        <f t="shared" si="38"/>
        <v>4.4572786559080537</v>
      </c>
      <c r="AE77">
        <f t="shared" si="51"/>
        <v>4.739770642201842</v>
      </c>
      <c r="AF77">
        <f t="shared" si="47"/>
        <v>4.8358114899326274E-2</v>
      </c>
      <c r="AG77" s="2">
        <f t="shared" si="48"/>
        <v>2.4179057449663137</v>
      </c>
      <c r="AH77">
        <v>25</v>
      </c>
      <c r="AI77">
        <f t="shared" si="50"/>
        <v>4.8358114899326274E-2</v>
      </c>
      <c r="AJ77">
        <f t="shared" si="46"/>
        <v>1.9343245959730509E-3</v>
      </c>
      <c r="AK77" t="s">
        <v>48</v>
      </c>
    </row>
    <row r="78" spans="1:37" x14ac:dyDescent="0.2">
      <c r="A78" t="s">
        <v>44</v>
      </c>
      <c r="B78">
        <v>2023</v>
      </c>
      <c r="C78">
        <f t="shared" si="31"/>
        <v>2</v>
      </c>
      <c r="D78">
        <v>4</v>
      </c>
      <c r="E78">
        <v>2</v>
      </c>
      <c r="F78" t="s">
        <v>39</v>
      </c>
      <c r="G78">
        <v>25</v>
      </c>
      <c r="H78">
        <v>17</v>
      </c>
      <c r="I78">
        <f t="shared" si="39"/>
        <v>0.68</v>
      </c>
      <c r="J78">
        <v>4</v>
      </c>
      <c r="K78">
        <v>25.632999999999999</v>
      </c>
      <c r="L78">
        <v>35</v>
      </c>
      <c r="M78">
        <v>1.827</v>
      </c>
      <c r="N78">
        <v>31.878</v>
      </c>
      <c r="O78">
        <f t="shared" si="35"/>
        <v>30.051000000000002</v>
      </c>
      <c r="P78">
        <v>25.617000000000001</v>
      </c>
      <c r="Q78">
        <f t="shared" si="36"/>
        <v>23.79</v>
      </c>
      <c r="R78">
        <f t="shared" si="40"/>
        <v>6.2610000000000028</v>
      </c>
      <c r="S78">
        <f t="shared" si="41"/>
        <v>20.83458121193971</v>
      </c>
      <c r="T78">
        <v>12</v>
      </c>
      <c r="U78">
        <v>29.422499999999999</v>
      </c>
      <c r="V78">
        <v>32.679400000000001</v>
      </c>
      <c r="W78">
        <f t="shared" si="42"/>
        <v>3.2569000000000017</v>
      </c>
      <c r="X78">
        <f t="shared" si="43"/>
        <v>3256.9000000000015</v>
      </c>
      <c r="Y78">
        <v>32.562399999999997</v>
      </c>
      <c r="Z78">
        <f t="shared" si="44"/>
        <v>3.1398999999999972</v>
      </c>
      <c r="AA78">
        <f t="shared" si="37"/>
        <v>3139.8999999999974</v>
      </c>
      <c r="AB78">
        <f t="shared" si="45"/>
        <v>117.00000000000409</v>
      </c>
      <c r="AC78">
        <v>0.75469284577388129</v>
      </c>
      <c r="AD78">
        <f t="shared" si="38"/>
        <v>3.5923731155394405</v>
      </c>
      <c r="AE78">
        <f t="shared" si="51"/>
        <v>4.3808348429488682</v>
      </c>
      <c r="AF78">
        <f t="shared" si="47"/>
        <v>3.3061847144904559E-2</v>
      </c>
      <c r="AG78" s="2">
        <f t="shared" si="48"/>
        <v>0.82654617862261393</v>
      </c>
      <c r="AH78">
        <v>15</v>
      </c>
      <c r="AI78">
        <f t="shared" si="50"/>
        <v>3.3061847144904559E-2</v>
      </c>
      <c r="AJ78">
        <f t="shared" si="46"/>
        <v>2.2041231429936374E-3</v>
      </c>
    </row>
    <row r="79" spans="1:37" x14ac:dyDescent="0.2">
      <c r="A79" t="s">
        <v>44</v>
      </c>
      <c r="B79">
        <v>2023</v>
      </c>
      <c r="C79">
        <f t="shared" si="31"/>
        <v>2</v>
      </c>
      <c r="D79">
        <v>4</v>
      </c>
      <c r="E79">
        <v>2</v>
      </c>
      <c r="F79" t="s">
        <v>40</v>
      </c>
      <c r="G79">
        <v>10</v>
      </c>
      <c r="H79">
        <v>9.5</v>
      </c>
      <c r="I79">
        <f t="shared" si="39"/>
        <v>0.95</v>
      </c>
      <c r="J79">
        <v>5.2</v>
      </c>
      <c r="L79">
        <v>36</v>
      </c>
      <c r="M79">
        <v>1.8460000000000001</v>
      </c>
      <c r="N79">
        <v>32.040999999999997</v>
      </c>
      <c r="O79">
        <f t="shared" si="35"/>
        <v>30.194999999999997</v>
      </c>
      <c r="P79">
        <v>25.934999999999999</v>
      </c>
      <c r="Q79">
        <f t="shared" si="36"/>
        <v>24.088999999999999</v>
      </c>
      <c r="R79">
        <f t="shared" si="40"/>
        <v>6.1059999999999981</v>
      </c>
      <c r="S79">
        <f t="shared" si="41"/>
        <v>20.221891041563168</v>
      </c>
      <c r="T79">
        <v>8</v>
      </c>
      <c r="U79">
        <v>27.3459</v>
      </c>
      <c r="V79">
        <v>30.949200000000001</v>
      </c>
      <c r="W79">
        <f t="shared" si="42"/>
        <v>3.6033000000000008</v>
      </c>
      <c r="X79">
        <f t="shared" si="43"/>
        <v>3603.3000000000006</v>
      </c>
      <c r="Y79">
        <v>30.819600000000001</v>
      </c>
      <c r="Z79">
        <f t="shared" si="44"/>
        <v>3.4737000000000009</v>
      </c>
      <c r="AA79">
        <f t="shared" si="37"/>
        <v>3473.7000000000007</v>
      </c>
      <c r="AB79">
        <f t="shared" si="45"/>
        <v>129.59999999999991</v>
      </c>
      <c r="AC79">
        <v>0.94418669989266912</v>
      </c>
      <c r="AD79">
        <f t="shared" ref="AD79:AD108" si="52">((X79-AA79)/X79)*100</f>
        <v>3.5967030222296201</v>
      </c>
      <c r="AE79">
        <f t="shared" si="51"/>
        <v>4.3826317542252919</v>
      </c>
      <c r="AF79">
        <f t="shared" si="47"/>
        <v>4.1380226128667978E-2</v>
      </c>
      <c r="AG79" s="2">
        <f t="shared" si="48"/>
        <v>0.4138022612866798</v>
      </c>
      <c r="AH79">
        <v>10</v>
      </c>
      <c r="AI79">
        <f t="shared" si="50"/>
        <v>4.1380226128667978E-2</v>
      </c>
      <c r="AJ79">
        <f t="shared" si="46"/>
        <v>4.138022612866798E-3</v>
      </c>
    </row>
    <row r="80" spans="1:37" x14ac:dyDescent="0.2">
      <c r="A80" t="s">
        <v>44</v>
      </c>
      <c r="B80">
        <v>2023</v>
      </c>
      <c r="C80">
        <f t="shared" si="31"/>
        <v>2</v>
      </c>
      <c r="D80">
        <v>4</v>
      </c>
      <c r="E80">
        <v>3</v>
      </c>
      <c r="F80" t="s">
        <v>41</v>
      </c>
      <c r="G80">
        <v>50</v>
      </c>
      <c r="H80">
        <v>25.5</v>
      </c>
      <c r="I80">
        <f t="shared" si="39"/>
        <v>0.51</v>
      </c>
      <c r="J80">
        <v>4</v>
      </c>
      <c r="K80">
        <v>23.553000000000001</v>
      </c>
      <c r="L80">
        <v>37</v>
      </c>
      <c r="M80">
        <v>1.839</v>
      </c>
      <c r="N80">
        <v>31.936</v>
      </c>
      <c r="O80">
        <f t="shared" si="35"/>
        <v>30.097000000000001</v>
      </c>
      <c r="P80">
        <v>23.542000000000002</v>
      </c>
      <c r="Q80">
        <f t="shared" si="36"/>
        <v>21.703000000000003</v>
      </c>
      <c r="R80">
        <f t="shared" si="40"/>
        <v>8.3939999999999984</v>
      </c>
      <c r="S80">
        <f t="shared" si="41"/>
        <v>27.889822905937461</v>
      </c>
      <c r="T80">
        <v>5</v>
      </c>
      <c r="U80">
        <v>22.167000000000002</v>
      </c>
      <c r="V80">
        <v>24.884899999999998</v>
      </c>
      <c r="W80">
        <f t="shared" si="42"/>
        <v>2.7178999999999967</v>
      </c>
      <c r="X80">
        <f t="shared" si="43"/>
        <v>2717.8999999999965</v>
      </c>
      <c r="Y80">
        <v>24.738700000000001</v>
      </c>
      <c r="Z80">
        <f t="shared" si="44"/>
        <v>2.5716999999999999</v>
      </c>
      <c r="AA80">
        <f t="shared" si="37"/>
        <v>2571.6999999999998</v>
      </c>
      <c r="AB80">
        <f t="shared" si="45"/>
        <v>146.19999999999663</v>
      </c>
      <c r="AC80">
        <v>1.0202627626905951</v>
      </c>
      <c r="AD80">
        <f t="shared" si="52"/>
        <v>5.3791530225540614</v>
      </c>
      <c r="AE80">
        <f t="shared" si="51"/>
        <v>5.1223485043599357</v>
      </c>
      <c r="AF80">
        <f t="shared" si="47"/>
        <v>5.2261414365223059E-2</v>
      </c>
      <c r="AG80" s="2">
        <f t="shared" si="48"/>
        <v>2.6130707182611528</v>
      </c>
      <c r="AH80">
        <v>25</v>
      </c>
      <c r="AI80">
        <f t="shared" si="50"/>
        <v>5.2261414365223059E-2</v>
      </c>
      <c r="AJ80">
        <f t="shared" si="46"/>
        <v>2.0904565746089222E-3</v>
      </c>
    </row>
    <row r="81" spans="1:37" x14ac:dyDescent="0.2">
      <c r="A81" t="s">
        <v>44</v>
      </c>
      <c r="B81">
        <v>2023</v>
      </c>
      <c r="C81">
        <f t="shared" si="31"/>
        <v>2</v>
      </c>
      <c r="D81">
        <v>4</v>
      </c>
      <c r="E81">
        <v>3</v>
      </c>
      <c r="F81" t="s">
        <v>39</v>
      </c>
      <c r="G81">
        <v>25</v>
      </c>
      <c r="H81">
        <v>17</v>
      </c>
      <c r="I81">
        <f t="shared" si="39"/>
        <v>0.68</v>
      </c>
      <c r="J81">
        <v>4</v>
      </c>
      <c r="L81">
        <v>38</v>
      </c>
      <c r="M81">
        <v>1.857</v>
      </c>
      <c r="N81">
        <v>34.177</v>
      </c>
      <c r="O81">
        <f t="shared" si="35"/>
        <v>32.32</v>
      </c>
      <c r="P81">
        <v>26.033000000000001</v>
      </c>
      <c r="Q81">
        <f t="shared" si="36"/>
        <v>24.176000000000002</v>
      </c>
      <c r="R81">
        <f t="shared" si="40"/>
        <v>8.1439999999999984</v>
      </c>
      <c r="S81">
        <f t="shared" si="41"/>
        <v>25.198019801980191</v>
      </c>
      <c r="T81">
        <v>1</v>
      </c>
      <c r="U81">
        <v>27.968399999999999</v>
      </c>
      <c r="V81">
        <v>31.917200000000001</v>
      </c>
      <c r="W81">
        <f t="shared" si="42"/>
        <v>3.9488000000000021</v>
      </c>
      <c r="X81">
        <f t="shared" si="43"/>
        <v>3948.800000000002</v>
      </c>
      <c r="Y81">
        <v>31.743400000000001</v>
      </c>
      <c r="Z81">
        <f t="shared" si="44"/>
        <v>3.7750000000000021</v>
      </c>
      <c r="AA81">
        <f t="shared" si="37"/>
        <v>3775.0000000000023</v>
      </c>
      <c r="AB81">
        <f t="shared" si="45"/>
        <v>173.79999999999973</v>
      </c>
      <c r="AC81">
        <v>0.75469284577388129</v>
      </c>
      <c r="AD81">
        <f t="shared" si="52"/>
        <v>4.4013371150729244</v>
      </c>
      <c r="AE81">
        <f t="shared" si="51"/>
        <v>4.7165549027552638</v>
      </c>
      <c r="AF81">
        <f t="shared" si="47"/>
        <v>3.5595502418091216E-2</v>
      </c>
      <c r="AG81" s="2">
        <f t="shared" si="48"/>
        <v>0.88988756045228035</v>
      </c>
      <c r="AH81">
        <v>15</v>
      </c>
      <c r="AI81">
        <f t="shared" si="50"/>
        <v>3.5595502418091216E-2</v>
      </c>
      <c r="AJ81">
        <f t="shared" si="46"/>
        <v>2.3730334945394143E-3</v>
      </c>
    </row>
    <row r="82" spans="1:37" x14ac:dyDescent="0.2">
      <c r="A82" t="s">
        <v>44</v>
      </c>
      <c r="B82">
        <v>2023</v>
      </c>
      <c r="C82">
        <f t="shared" si="31"/>
        <v>2</v>
      </c>
      <c r="D82">
        <v>4</v>
      </c>
      <c r="E82">
        <v>3</v>
      </c>
      <c r="F82" t="s">
        <v>40</v>
      </c>
      <c r="G82">
        <v>10</v>
      </c>
      <c r="H82">
        <v>7</v>
      </c>
      <c r="I82">
        <f t="shared" si="39"/>
        <v>0.7</v>
      </c>
      <c r="J82">
        <v>5.2</v>
      </c>
      <c r="K82">
        <v>23.466999999999999</v>
      </c>
      <c r="L82">
        <v>39</v>
      </c>
      <c r="M82">
        <v>1.8360000000000001</v>
      </c>
      <c r="N82">
        <v>34.142000000000003</v>
      </c>
      <c r="O82">
        <f t="shared" si="35"/>
        <v>32.306000000000004</v>
      </c>
      <c r="P82">
        <v>25.94</v>
      </c>
      <c r="Q82">
        <f t="shared" si="36"/>
        <v>24.104000000000003</v>
      </c>
      <c r="R82">
        <f t="shared" si="40"/>
        <v>8.2020000000000017</v>
      </c>
      <c r="S82">
        <f t="shared" si="41"/>
        <v>25.388472729523929</v>
      </c>
      <c r="T82">
        <v>9</v>
      </c>
      <c r="U82">
        <v>30.430700000000002</v>
      </c>
      <c r="V82">
        <v>33.158200000000001</v>
      </c>
      <c r="W82">
        <f t="shared" si="42"/>
        <v>2.7274999999999991</v>
      </c>
      <c r="X82">
        <f t="shared" si="43"/>
        <v>2727.4999999999991</v>
      </c>
      <c r="Y82">
        <v>32.988399999999999</v>
      </c>
      <c r="Z82">
        <f t="shared" si="44"/>
        <v>2.557699999999997</v>
      </c>
      <c r="AA82">
        <f t="shared" si="37"/>
        <v>2557.6999999999971</v>
      </c>
      <c r="AB82">
        <f t="shared" si="45"/>
        <v>169.800000000002</v>
      </c>
      <c r="AC82">
        <v>0.94418669989266912</v>
      </c>
      <c r="AD82">
        <f t="shared" si="52"/>
        <v>6.2254812098992511</v>
      </c>
      <c r="AE82">
        <f t="shared" si="51"/>
        <v>5.4735747021081895</v>
      </c>
      <c r="AF82">
        <f t="shared" si="47"/>
        <v>5.1680764345995306E-2</v>
      </c>
      <c r="AG82" s="2">
        <f t="shared" si="48"/>
        <v>0.51680764345995311</v>
      </c>
      <c r="AH82">
        <v>10</v>
      </c>
      <c r="AI82">
        <f t="shared" si="50"/>
        <v>5.1680764345995306E-2</v>
      </c>
      <c r="AJ82">
        <f t="shared" si="46"/>
        <v>5.1680764345995306E-3</v>
      </c>
    </row>
    <row r="83" spans="1:37" x14ac:dyDescent="0.2">
      <c r="A83" t="s">
        <v>49</v>
      </c>
      <c r="B83">
        <v>2021</v>
      </c>
      <c r="C83">
        <f>2025-B83</f>
        <v>4</v>
      </c>
      <c r="D83">
        <v>1</v>
      </c>
      <c r="E83">
        <v>1</v>
      </c>
      <c r="F83" t="s">
        <v>38</v>
      </c>
      <c r="G83">
        <v>50</v>
      </c>
      <c r="H83">
        <v>21.5</v>
      </c>
      <c r="I83">
        <f t="shared" si="39"/>
        <v>0.43</v>
      </c>
      <c r="J83">
        <v>4</v>
      </c>
      <c r="L83">
        <v>49</v>
      </c>
      <c r="M83">
        <v>1.855</v>
      </c>
      <c r="N83">
        <v>34.601999999999997</v>
      </c>
      <c r="O83">
        <f t="shared" si="35"/>
        <v>32.747</v>
      </c>
      <c r="P83">
        <v>21.829000000000001</v>
      </c>
      <c r="Q83">
        <f t="shared" si="36"/>
        <v>19.974</v>
      </c>
      <c r="R83">
        <f>O83-Q83</f>
        <v>12.773</v>
      </c>
      <c r="S83" s="4">
        <f>((O83-Q83)/O83)*100</f>
        <v>39.005099703789661</v>
      </c>
      <c r="T83">
        <v>2</v>
      </c>
      <c r="U83">
        <v>26.6462</v>
      </c>
      <c r="V83">
        <v>29.134499999999999</v>
      </c>
      <c r="W83">
        <f>V83-U83</f>
        <v>2.4882999999999988</v>
      </c>
      <c r="X83">
        <f>W83*1000</f>
        <v>2488.2999999999988</v>
      </c>
      <c r="Y83">
        <v>28.999700000000001</v>
      </c>
      <c r="Z83">
        <f>Y83-U83</f>
        <v>2.3535000000000004</v>
      </c>
      <c r="AA83">
        <f t="shared" si="37"/>
        <v>2353.5000000000005</v>
      </c>
      <c r="AB83">
        <f>X83-AA83</f>
        <v>134.79999999999836</v>
      </c>
      <c r="AC83">
        <v>0.91301222541454419</v>
      </c>
      <c r="AD83">
        <f t="shared" si="52"/>
        <v>5.4173532130369502</v>
      </c>
      <c r="AE83">
        <f t="shared" si="51"/>
        <v>5.1382015834103338</v>
      </c>
      <c r="AF83">
        <f t="shared" si="47"/>
        <v>4.6912408622980038E-2</v>
      </c>
      <c r="AG83" s="2">
        <f t="shared" si="48"/>
        <v>2.3456204311490021</v>
      </c>
      <c r="AH83">
        <v>25</v>
      </c>
      <c r="AI83">
        <f>AG83-(AI84+AI85)</f>
        <v>0.82007844380817119</v>
      </c>
      <c r="AJ83">
        <f>AI83/AH83</f>
        <v>3.280313775232685E-2</v>
      </c>
    </row>
    <row r="84" spans="1:37" x14ac:dyDescent="0.2">
      <c r="A84" t="s">
        <v>49</v>
      </c>
      <c r="B84">
        <v>2021</v>
      </c>
      <c r="C84">
        <f t="shared" ref="C84:C100" si="53">2025-B84</f>
        <v>4</v>
      </c>
      <c r="D84">
        <v>1</v>
      </c>
      <c r="E84">
        <v>1</v>
      </c>
      <c r="F84" t="s">
        <v>39</v>
      </c>
      <c r="G84">
        <v>25</v>
      </c>
      <c r="H84">
        <v>18</v>
      </c>
      <c r="I84">
        <f t="shared" si="39"/>
        <v>0.72</v>
      </c>
      <c r="J84">
        <v>4</v>
      </c>
      <c r="L84">
        <v>50</v>
      </c>
      <c r="M84">
        <v>1.915</v>
      </c>
      <c r="N84">
        <v>31.771999999999998</v>
      </c>
      <c r="O84">
        <f t="shared" si="35"/>
        <v>29.856999999999999</v>
      </c>
      <c r="P84">
        <v>19.084</v>
      </c>
      <c r="Q84">
        <f t="shared" si="36"/>
        <v>17.169</v>
      </c>
      <c r="R84">
        <f t="shared" ref="R84:R100" si="54">O84-Q84</f>
        <v>12.687999999999999</v>
      </c>
      <c r="S84" s="4">
        <f t="shared" ref="S84:S100" si="55">((O84-Q84)/O84)*100</f>
        <v>42.49589710955555</v>
      </c>
      <c r="T84">
        <v>7</v>
      </c>
      <c r="U84">
        <v>27.354099999999999</v>
      </c>
      <c r="V84">
        <v>29.940999999999999</v>
      </c>
      <c r="W84">
        <f t="shared" ref="W84:W100" si="56">V84-U84</f>
        <v>2.5869</v>
      </c>
      <c r="X84">
        <f t="shared" ref="X84:X100" si="57">W84*1000</f>
        <v>2586.9</v>
      </c>
      <c r="Y84">
        <v>29.729900000000001</v>
      </c>
      <c r="Z84">
        <f t="shared" ref="Z84:Z100" si="58">Y84-U84</f>
        <v>2.3758000000000017</v>
      </c>
      <c r="AA84">
        <f t="shared" si="37"/>
        <v>2375.8000000000015</v>
      </c>
      <c r="AB84">
        <f t="shared" ref="AB84:AB100" si="59">X84-AA84</f>
        <v>211.09999999999854</v>
      </c>
      <c r="AC84">
        <v>0.97221786424472922</v>
      </c>
      <c r="AD84">
        <f t="shared" si="52"/>
        <v>8.1603463605086599</v>
      </c>
      <c r="AE84">
        <f t="shared" si="51"/>
        <v>6.2765437396110944</v>
      </c>
      <c r="AF84">
        <f t="shared" si="47"/>
        <v>6.1021679493633241E-2</v>
      </c>
      <c r="AG84" s="2">
        <f t="shared" si="48"/>
        <v>1.5255419873408309</v>
      </c>
      <c r="AH84">
        <v>15</v>
      </c>
      <c r="AI84">
        <f>AG84-AG85</f>
        <v>0.97539616307202848</v>
      </c>
      <c r="AJ84">
        <f t="shared" ref="AJ84:AJ100" si="60">AI84/AH84</f>
        <v>6.5026410871468571E-2</v>
      </c>
    </row>
    <row r="85" spans="1:37" x14ac:dyDescent="0.2">
      <c r="A85" t="s">
        <v>49</v>
      </c>
      <c r="B85">
        <v>2021</v>
      </c>
      <c r="C85">
        <f t="shared" si="53"/>
        <v>4</v>
      </c>
      <c r="D85">
        <v>1</v>
      </c>
      <c r="E85">
        <v>1</v>
      </c>
      <c r="F85" t="s">
        <v>40</v>
      </c>
      <c r="G85">
        <v>10</v>
      </c>
      <c r="H85">
        <v>5.5</v>
      </c>
      <c r="I85">
        <f t="shared" si="39"/>
        <v>0.55000000000000004</v>
      </c>
      <c r="J85">
        <v>4</v>
      </c>
      <c r="L85">
        <v>51</v>
      </c>
      <c r="M85">
        <v>1.905</v>
      </c>
      <c r="N85">
        <v>30.744</v>
      </c>
      <c r="O85">
        <f t="shared" si="35"/>
        <v>28.838999999999999</v>
      </c>
      <c r="P85">
        <v>19.95</v>
      </c>
      <c r="Q85">
        <f t="shared" si="36"/>
        <v>18.044999999999998</v>
      </c>
      <c r="R85">
        <f t="shared" si="54"/>
        <v>10.794</v>
      </c>
      <c r="S85" s="4">
        <f t="shared" si="55"/>
        <v>37.428482263601374</v>
      </c>
      <c r="T85">
        <v>19</v>
      </c>
      <c r="U85">
        <v>28.572199999999999</v>
      </c>
      <c r="V85">
        <v>31.6721</v>
      </c>
      <c r="W85">
        <f t="shared" si="56"/>
        <v>3.0999000000000017</v>
      </c>
      <c r="X85">
        <f t="shared" si="57"/>
        <v>3099.9000000000015</v>
      </c>
      <c r="Y85">
        <v>31.480699999999999</v>
      </c>
      <c r="Z85">
        <f t="shared" si="58"/>
        <v>2.9085000000000001</v>
      </c>
      <c r="AA85">
        <f t="shared" si="37"/>
        <v>2908.5</v>
      </c>
      <c r="AB85">
        <f t="shared" si="59"/>
        <v>191.40000000000146</v>
      </c>
      <c r="AC85">
        <v>1.0090025504668434</v>
      </c>
      <c r="AD85">
        <f t="shared" si="52"/>
        <v>6.1743927223459263</v>
      </c>
      <c r="AE85">
        <f t="shared" si="51"/>
        <v>5.4523729797735596</v>
      </c>
      <c r="AF85">
        <f t="shared" si="47"/>
        <v>5.5014582426880239E-2</v>
      </c>
      <c r="AG85" s="2">
        <f t="shared" si="48"/>
        <v>0.55014582426880243</v>
      </c>
      <c r="AH85">
        <v>10</v>
      </c>
      <c r="AI85">
        <f>AG85</f>
        <v>0.55014582426880243</v>
      </c>
      <c r="AJ85">
        <f t="shared" si="60"/>
        <v>5.5014582426880246E-2</v>
      </c>
    </row>
    <row r="86" spans="1:37" x14ac:dyDescent="0.2">
      <c r="A86" t="s">
        <v>49</v>
      </c>
      <c r="B86">
        <v>2021</v>
      </c>
      <c r="C86">
        <f t="shared" si="53"/>
        <v>4</v>
      </c>
      <c r="D86">
        <v>1</v>
      </c>
      <c r="E86">
        <v>2</v>
      </c>
      <c r="F86" s="3" t="s">
        <v>41</v>
      </c>
      <c r="G86">
        <v>50</v>
      </c>
      <c r="H86">
        <v>16</v>
      </c>
      <c r="I86">
        <f t="shared" si="39"/>
        <v>0.32</v>
      </c>
      <c r="J86">
        <v>4</v>
      </c>
      <c r="L86">
        <v>52</v>
      </c>
      <c r="M86">
        <v>1.887</v>
      </c>
      <c r="N86">
        <v>35.707999999999998</v>
      </c>
      <c r="O86">
        <f t="shared" si="35"/>
        <v>33.820999999999998</v>
      </c>
      <c r="P86">
        <v>18.652999999999999</v>
      </c>
      <c r="Q86">
        <f t="shared" si="36"/>
        <v>16.765999999999998</v>
      </c>
      <c r="R86">
        <f t="shared" si="54"/>
        <v>17.055</v>
      </c>
      <c r="S86" s="4">
        <f t="shared" si="55"/>
        <v>50.427249342124711</v>
      </c>
      <c r="T86">
        <v>20</v>
      </c>
      <c r="U86">
        <v>28.529900000000001</v>
      </c>
      <c r="V86">
        <v>30.9969</v>
      </c>
      <c r="W86">
        <f t="shared" si="56"/>
        <v>2.4669999999999987</v>
      </c>
      <c r="X86">
        <f t="shared" si="57"/>
        <v>2466.9999999999986</v>
      </c>
      <c r="Y86">
        <v>30.797000000000001</v>
      </c>
      <c r="Z86">
        <f t="shared" si="58"/>
        <v>2.2670999999999992</v>
      </c>
      <c r="AA86">
        <f t="shared" si="37"/>
        <v>2267.0999999999995</v>
      </c>
      <c r="AB86">
        <f t="shared" si="59"/>
        <v>199.89999999999918</v>
      </c>
      <c r="AC86">
        <v>0.91301222541454419</v>
      </c>
      <c r="AD86">
        <f t="shared" si="52"/>
        <v>8.1029590595865137</v>
      </c>
      <c r="AE86">
        <f t="shared" si="51"/>
        <v>6.2527280097284033</v>
      </c>
      <c r="AF86">
        <f t="shared" ref="AF86:AF108" si="61">AC86*(AE86/100)</f>
        <v>5.708817115073983E-2</v>
      </c>
      <c r="AG86" s="2">
        <f t="shared" si="48"/>
        <v>2.8544085575369915</v>
      </c>
      <c r="AH86">
        <v>25</v>
      </c>
      <c r="AI86">
        <f>AG86-(AI87+AI88)</f>
        <v>1.3768618375479889</v>
      </c>
      <c r="AJ86">
        <f t="shared" si="60"/>
        <v>5.5074473501919553E-2</v>
      </c>
    </row>
    <row r="87" spans="1:37" x14ac:dyDescent="0.2">
      <c r="A87" t="s">
        <v>49</v>
      </c>
      <c r="B87">
        <v>2021</v>
      </c>
      <c r="C87">
        <f t="shared" si="53"/>
        <v>4</v>
      </c>
      <c r="D87">
        <v>1</v>
      </c>
      <c r="E87">
        <v>2</v>
      </c>
      <c r="F87" t="s">
        <v>39</v>
      </c>
      <c r="G87">
        <v>25</v>
      </c>
      <c r="H87">
        <v>13</v>
      </c>
      <c r="I87">
        <f t="shared" si="39"/>
        <v>0.52</v>
      </c>
      <c r="J87">
        <v>4</v>
      </c>
      <c r="L87">
        <v>53</v>
      </c>
      <c r="M87">
        <v>1.887</v>
      </c>
      <c r="N87">
        <v>36.011000000000003</v>
      </c>
      <c r="O87">
        <f t="shared" si="35"/>
        <v>34.124000000000002</v>
      </c>
      <c r="P87">
        <v>20.709</v>
      </c>
      <c r="Q87">
        <f t="shared" si="36"/>
        <v>18.821999999999999</v>
      </c>
      <c r="R87">
        <f t="shared" si="54"/>
        <v>15.302000000000003</v>
      </c>
      <c r="S87" s="4">
        <f t="shared" si="55"/>
        <v>44.842339702262343</v>
      </c>
      <c r="T87">
        <v>12</v>
      </c>
      <c r="U87">
        <v>29.421700000000001</v>
      </c>
      <c r="V87">
        <v>31.990500000000001</v>
      </c>
      <c r="W87">
        <f t="shared" si="56"/>
        <v>2.5687999999999995</v>
      </c>
      <c r="X87">
        <f t="shared" si="57"/>
        <v>2568.7999999999997</v>
      </c>
      <c r="Y87">
        <v>31.793099999999999</v>
      </c>
      <c r="Z87">
        <f t="shared" si="58"/>
        <v>2.3713999999999977</v>
      </c>
      <c r="AA87">
        <f t="shared" si="37"/>
        <v>2371.3999999999978</v>
      </c>
      <c r="AB87">
        <f t="shared" si="59"/>
        <v>197.40000000000191</v>
      </c>
      <c r="AC87">
        <v>0.97221786424472922</v>
      </c>
      <c r="AD87">
        <f t="shared" si="52"/>
        <v>7.6845219557770923</v>
      </c>
      <c r="AE87">
        <f t="shared" si="51"/>
        <v>6.0790766116474932</v>
      </c>
      <c r="AF87">
        <f t="shared" si="61"/>
        <v>5.9101868799560107E-2</v>
      </c>
      <c r="AG87" s="2">
        <f t="shared" si="48"/>
        <v>1.4775467199890027</v>
      </c>
      <c r="AH87">
        <v>15</v>
      </c>
      <c r="AI87">
        <f>AG87-AG88</f>
        <v>0.84750537940756265</v>
      </c>
      <c r="AJ87">
        <f t="shared" si="60"/>
        <v>5.6500358627170844E-2</v>
      </c>
    </row>
    <row r="88" spans="1:37" x14ac:dyDescent="0.2">
      <c r="A88" t="s">
        <v>49</v>
      </c>
      <c r="B88">
        <v>2021</v>
      </c>
      <c r="C88">
        <f t="shared" si="53"/>
        <v>4</v>
      </c>
      <c r="D88">
        <v>1</v>
      </c>
      <c r="E88">
        <v>2</v>
      </c>
      <c r="F88" t="s">
        <v>40</v>
      </c>
      <c r="G88">
        <v>10</v>
      </c>
      <c r="H88">
        <v>8.1999999999999993</v>
      </c>
      <c r="I88">
        <f t="shared" si="39"/>
        <v>0.82</v>
      </c>
      <c r="J88">
        <v>4</v>
      </c>
      <c r="L88">
        <v>54</v>
      </c>
      <c r="M88">
        <v>1.881</v>
      </c>
      <c r="N88">
        <v>31.699000000000002</v>
      </c>
      <c r="O88">
        <f t="shared" si="35"/>
        <v>29.818000000000001</v>
      </c>
      <c r="P88">
        <v>18.521000000000001</v>
      </c>
      <c r="Q88">
        <f t="shared" si="36"/>
        <v>16.64</v>
      </c>
      <c r="R88">
        <f t="shared" si="54"/>
        <v>13.178000000000001</v>
      </c>
      <c r="S88" s="4">
        <f t="shared" si="55"/>
        <v>44.194781675498021</v>
      </c>
      <c r="T88">
        <v>14</v>
      </c>
      <c r="U88">
        <v>27.7986</v>
      </c>
      <c r="V88">
        <v>31.584599999999998</v>
      </c>
      <c r="W88">
        <f t="shared" si="56"/>
        <v>3.7859999999999978</v>
      </c>
      <c r="X88">
        <f t="shared" si="57"/>
        <v>3785.9999999999977</v>
      </c>
      <c r="Y88">
        <v>31.278600000000001</v>
      </c>
      <c r="Z88">
        <f t="shared" si="58"/>
        <v>3.4800000000000004</v>
      </c>
      <c r="AA88">
        <f t="shared" si="37"/>
        <v>3480.0000000000005</v>
      </c>
      <c r="AB88">
        <f t="shared" si="59"/>
        <v>305.99999999999727</v>
      </c>
      <c r="AC88">
        <v>1.0090025504668434</v>
      </c>
      <c r="AD88">
        <f t="shared" si="52"/>
        <v>8.0824088748018337</v>
      </c>
      <c r="AE88">
        <f t="shared" si="51"/>
        <v>6.2441996830427611</v>
      </c>
      <c r="AF88">
        <f t="shared" si="61"/>
        <v>6.3004134058144007E-2</v>
      </c>
      <c r="AG88" s="2">
        <f t="shared" si="48"/>
        <v>0.63004134058144001</v>
      </c>
      <c r="AH88">
        <v>10</v>
      </c>
      <c r="AI88">
        <f>AG88</f>
        <v>0.63004134058144001</v>
      </c>
      <c r="AJ88">
        <f t="shared" si="60"/>
        <v>6.3004134058144007E-2</v>
      </c>
    </row>
    <row r="89" spans="1:37" x14ac:dyDescent="0.2">
      <c r="A89" t="s">
        <v>49</v>
      </c>
      <c r="B89">
        <v>2021</v>
      </c>
      <c r="C89">
        <f t="shared" si="53"/>
        <v>4</v>
      </c>
      <c r="D89">
        <v>1</v>
      </c>
      <c r="E89">
        <v>3</v>
      </c>
      <c r="F89" s="3" t="s">
        <v>41</v>
      </c>
      <c r="G89">
        <v>50</v>
      </c>
      <c r="H89">
        <v>12.5</v>
      </c>
      <c r="I89">
        <f t="shared" si="39"/>
        <v>0.25</v>
      </c>
      <c r="J89">
        <v>4</v>
      </c>
      <c r="L89">
        <v>55</v>
      </c>
      <c r="M89">
        <v>1.895</v>
      </c>
      <c r="N89">
        <v>31.158999999999999</v>
      </c>
      <c r="O89">
        <f t="shared" si="35"/>
        <v>29.263999999999999</v>
      </c>
      <c r="P89">
        <v>16.481000000000002</v>
      </c>
      <c r="Q89">
        <f t="shared" si="36"/>
        <v>14.586000000000002</v>
      </c>
      <c r="R89">
        <f t="shared" si="54"/>
        <v>14.677999999999997</v>
      </c>
      <c r="S89" s="4">
        <f t="shared" si="55"/>
        <v>50.157189721159092</v>
      </c>
      <c r="T89">
        <v>21</v>
      </c>
      <c r="U89">
        <v>31.083500000000001</v>
      </c>
      <c r="V89">
        <v>34.643700000000003</v>
      </c>
      <c r="W89">
        <f t="shared" si="56"/>
        <v>3.5602000000000018</v>
      </c>
      <c r="X89">
        <f t="shared" si="57"/>
        <v>3560.2000000000016</v>
      </c>
      <c r="Y89">
        <v>34.260800000000003</v>
      </c>
      <c r="Z89">
        <f t="shared" si="58"/>
        <v>3.1773000000000025</v>
      </c>
      <c r="AA89">
        <f t="shared" si="37"/>
        <v>3177.3000000000025</v>
      </c>
      <c r="AB89">
        <f t="shared" si="59"/>
        <v>382.89999999999918</v>
      </c>
      <c r="AC89">
        <v>0.91301222541454419</v>
      </c>
      <c r="AD89">
        <f t="shared" si="52"/>
        <v>10.755013763271698</v>
      </c>
      <c r="AE89">
        <f t="shared" si="51"/>
        <v>7.3533307117577547</v>
      </c>
      <c r="AF89">
        <f t="shared" si="61"/>
        <v>6.7136808373510617E-2</v>
      </c>
      <c r="AG89" s="2">
        <f t="shared" si="48"/>
        <v>3.3568404186755307</v>
      </c>
      <c r="AH89">
        <v>25</v>
      </c>
      <c r="AI89">
        <f>AG89-(AI90+AI91)</f>
        <v>1.7673446053217623</v>
      </c>
      <c r="AJ89">
        <f t="shared" si="60"/>
        <v>7.0693784212870495E-2</v>
      </c>
    </row>
    <row r="90" spans="1:37" x14ac:dyDescent="0.2">
      <c r="A90" t="s">
        <v>49</v>
      </c>
      <c r="B90">
        <v>2021</v>
      </c>
      <c r="C90">
        <f t="shared" si="53"/>
        <v>4</v>
      </c>
      <c r="D90">
        <v>1</v>
      </c>
      <c r="E90">
        <v>3</v>
      </c>
      <c r="F90" t="s">
        <v>39</v>
      </c>
      <c r="G90">
        <v>25</v>
      </c>
      <c r="H90">
        <v>7.5</v>
      </c>
      <c r="I90">
        <f t="shared" si="39"/>
        <v>0.3</v>
      </c>
      <c r="J90">
        <v>4</v>
      </c>
      <c r="L90">
        <v>56</v>
      </c>
      <c r="M90">
        <v>1.873</v>
      </c>
      <c r="N90">
        <v>34.314999999999998</v>
      </c>
      <c r="O90">
        <f t="shared" si="35"/>
        <v>32.442</v>
      </c>
      <c r="P90">
        <v>18.734999999999999</v>
      </c>
      <c r="Q90">
        <f t="shared" si="36"/>
        <v>16.861999999999998</v>
      </c>
      <c r="R90">
        <f t="shared" si="54"/>
        <v>15.580000000000002</v>
      </c>
      <c r="S90" s="4">
        <f t="shared" si="55"/>
        <v>48.024166204303071</v>
      </c>
      <c r="T90">
        <v>13</v>
      </c>
      <c r="U90">
        <v>22.196200000000001</v>
      </c>
      <c r="V90">
        <v>25.899699999999999</v>
      </c>
      <c r="W90">
        <f t="shared" si="56"/>
        <v>3.7034999999999982</v>
      </c>
      <c r="X90">
        <f t="shared" si="57"/>
        <v>3703.4999999999982</v>
      </c>
      <c r="Y90">
        <v>25.574000000000002</v>
      </c>
      <c r="Z90">
        <f t="shared" si="58"/>
        <v>3.3778000000000006</v>
      </c>
      <c r="AA90">
        <f t="shared" si="37"/>
        <v>3377.8000000000006</v>
      </c>
      <c r="AB90">
        <f t="shared" si="59"/>
        <v>325.69999999999754</v>
      </c>
      <c r="AC90">
        <v>0.97221786424472922</v>
      </c>
      <c r="AD90">
        <f t="shared" si="52"/>
        <v>8.7943836911029489</v>
      </c>
      <c r="AE90">
        <f t="shared" si="51"/>
        <v>6.5396692318077232</v>
      </c>
      <c r="AF90">
        <f t="shared" si="61"/>
        <v>6.357983253415074E-2</v>
      </c>
      <c r="AG90" s="2">
        <f t="shared" si="48"/>
        <v>1.5894958133537684</v>
      </c>
      <c r="AH90">
        <v>15</v>
      </c>
      <c r="AI90">
        <f>AG90-AG91</f>
        <v>0.86368185261295582</v>
      </c>
      <c r="AJ90">
        <f t="shared" si="60"/>
        <v>5.7578790174197057E-2</v>
      </c>
    </row>
    <row r="91" spans="1:37" x14ac:dyDescent="0.2">
      <c r="A91" t="s">
        <v>49</v>
      </c>
      <c r="B91">
        <v>2021</v>
      </c>
      <c r="C91">
        <f t="shared" si="53"/>
        <v>4</v>
      </c>
      <c r="D91">
        <v>1</v>
      </c>
      <c r="E91">
        <v>3</v>
      </c>
      <c r="F91" t="s">
        <v>40</v>
      </c>
      <c r="G91">
        <v>10</v>
      </c>
      <c r="H91">
        <v>9.3000000000000007</v>
      </c>
      <c r="I91">
        <f t="shared" si="39"/>
        <v>0.93</v>
      </c>
      <c r="J91">
        <v>4</v>
      </c>
      <c r="L91">
        <v>57</v>
      </c>
      <c r="M91">
        <v>1.889</v>
      </c>
      <c r="N91">
        <v>32.064</v>
      </c>
      <c r="O91">
        <f t="shared" si="35"/>
        <v>30.175000000000001</v>
      </c>
      <c r="P91">
        <v>17.114000000000001</v>
      </c>
      <c r="Q91">
        <f t="shared" si="36"/>
        <v>15.225000000000001</v>
      </c>
      <c r="R91">
        <f t="shared" si="54"/>
        <v>14.95</v>
      </c>
      <c r="S91" s="4">
        <f t="shared" si="55"/>
        <v>49.544324772162383</v>
      </c>
      <c r="T91">
        <v>1</v>
      </c>
      <c r="U91">
        <v>27.967700000000001</v>
      </c>
      <c r="V91">
        <v>31.490500000000001</v>
      </c>
      <c r="W91">
        <f t="shared" si="56"/>
        <v>3.5228000000000002</v>
      </c>
      <c r="X91">
        <f t="shared" si="57"/>
        <v>3522.8</v>
      </c>
      <c r="Y91">
        <v>31.1252</v>
      </c>
      <c r="Z91">
        <f t="shared" si="58"/>
        <v>3.1574999999999989</v>
      </c>
      <c r="AA91">
        <f t="shared" si="37"/>
        <v>3157.4999999999991</v>
      </c>
      <c r="AB91">
        <f t="shared" si="59"/>
        <v>365.30000000000109</v>
      </c>
      <c r="AC91">
        <v>1.0090025504668434</v>
      </c>
      <c r="AD91">
        <f t="shared" si="52"/>
        <v>10.369592369705947</v>
      </c>
      <c r="AE91">
        <f t="shared" si="51"/>
        <v>7.1933808334279679</v>
      </c>
      <c r="AF91">
        <f t="shared" si="61"/>
        <v>7.2581396074081261E-2</v>
      </c>
      <c r="AG91" s="2">
        <f t="shared" si="48"/>
        <v>0.72581396074081261</v>
      </c>
      <c r="AH91">
        <v>10</v>
      </c>
      <c r="AI91">
        <f>AG91</f>
        <v>0.72581396074081261</v>
      </c>
      <c r="AJ91">
        <f t="shared" si="60"/>
        <v>7.2581396074081261E-2</v>
      </c>
    </row>
    <row r="92" spans="1:37" x14ac:dyDescent="0.2">
      <c r="A92" t="s">
        <v>49</v>
      </c>
      <c r="B92">
        <v>2017</v>
      </c>
      <c r="C92">
        <f t="shared" si="53"/>
        <v>8</v>
      </c>
      <c r="D92">
        <v>2</v>
      </c>
      <c r="E92">
        <v>1</v>
      </c>
      <c r="F92" s="3" t="s">
        <v>41</v>
      </c>
      <c r="G92">
        <v>50</v>
      </c>
      <c r="H92">
        <v>19.5</v>
      </c>
      <c r="I92">
        <f t="shared" si="39"/>
        <v>0.39</v>
      </c>
      <c r="J92">
        <v>4</v>
      </c>
      <c r="L92">
        <v>58</v>
      </c>
      <c r="M92">
        <v>1.8759999999999999</v>
      </c>
      <c r="N92">
        <v>35.56</v>
      </c>
      <c r="O92">
        <f t="shared" si="35"/>
        <v>33.684000000000005</v>
      </c>
      <c r="P92">
        <v>16.882999999999999</v>
      </c>
      <c r="Q92">
        <f t="shared" si="36"/>
        <v>15.007</v>
      </c>
      <c r="R92">
        <f t="shared" si="54"/>
        <v>18.677000000000007</v>
      </c>
      <c r="S92" s="4">
        <f t="shared" si="55"/>
        <v>55.44769029806438</v>
      </c>
      <c r="T92">
        <v>17</v>
      </c>
      <c r="U92">
        <v>28.977699999999999</v>
      </c>
      <c r="V92">
        <v>32.476399999999998</v>
      </c>
      <c r="W92">
        <f t="shared" si="56"/>
        <v>3.4986999999999995</v>
      </c>
      <c r="X92">
        <f t="shared" si="57"/>
        <v>3498.6999999999994</v>
      </c>
      <c r="Y92">
        <v>32.082000000000001</v>
      </c>
      <c r="Z92">
        <f t="shared" si="58"/>
        <v>3.1043000000000021</v>
      </c>
      <c r="AA92">
        <f t="shared" si="37"/>
        <v>3104.300000000002</v>
      </c>
      <c r="AB92">
        <f t="shared" si="59"/>
        <v>394.39999999999736</v>
      </c>
      <c r="AC92">
        <v>0.91301222541454419</v>
      </c>
      <c r="AD92">
        <f t="shared" si="52"/>
        <v>11.272758453139664</v>
      </c>
      <c r="AE92">
        <f t="shared" si="51"/>
        <v>7.5681947580529609</v>
      </c>
      <c r="AF92">
        <f t="shared" si="61"/>
        <v>6.9098543384206221E-2</v>
      </c>
      <c r="AG92" s="2">
        <f t="shared" si="48"/>
        <v>3.4549271692103112</v>
      </c>
      <c r="AH92">
        <v>25</v>
      </c>
      <c r="AI92">
        <f>AG92-(AI93+AI94)</f>
        <v>1.7702411321241422</v>
      </c>
      <c r="AJ92">
        <f t="shared" si="60"/>
        <v>7.0809645284965694E-2</v>
      </c>
      <c r="AK92" t="s">
        <v>50</v>
      </c>
    </row>
    <row r="93" spans="1:37" x14ac:dyDescent="0.2">
      <c r="A93" t="s">
        <v>49</v>
      </c>
      <c r="B93">
        <v>2017</v>
      </c>
      <c r="C93">
        <f t="shared" si="53"/>
        <v>8</v>
      </c>
      <c r="D93">
        <v>2</v>
      </c>
      <c r="E93">
        <v>1</v>
      </c>
      <c r="F93" t="s">
        <v>39</v>
      </c>
      <c r="G93">
        <v>25</v>
      </c>
      <c r="H93">
        <v>21</v>
      </c>
      <c r="I93">
        <f t="shared" si="39"/>
        <v>0.84</v>
      </c>
      <c r="J93">
        <v>4</v>
      </c>
      <c r="L93">
        <v>59</v>
      </c>
      <c r="M93">
        <v>1.8620000000000001</v>
      </c>
      <c r="N93">
        <v>33.177</v>
      </c>
      <c r="O93">
        <f t="shared" si="35"/>
        <v>31.314999999999998</v>
      </c>
      <c r="P93">
        <v>15.846</v>
      </c>
      <c r="Q93">
        <f t="shared" si="36"/>
        <v>13.984</v>
      </c>
      <c r="R93">
        <f t="shared" si="54"/>
        <v>17.330999999999996</v>
      </c>
      <c r="S93" s="4">
        <f t="shared" si="55"/>
        <v>55.344084304646323</v>
      </c>
      <c r="T93">
        <v>8</v>
      </c>
      <c r="U93">
        <v>27.3459</v>
      </c>
      <c r="V93">
        <v>30.5303</v>
      </c>
      <c r="W93">
        <f t="shared" si="56"/>
        <v>3.1844000000000001</v>
      </c>
      <c r="X93">
        <f t="shared" si="57"/>
        <v>3184.4</v>
      </c>
      <c r="Y93">
        <v>30.220199999999998</v>
      </c>
      <c r="Z93">
        <f t="shared" si="58"/>
        <v>2.8742999999999981</v>
      </c>
      <c r="AA93">
        <f t="shared" si="37"/>
        <v>2874.2999999999979</v>
      </c>
      <c r="AB93">
        <f t="shared" si="59"/>
        <v>310.10000000000218</v>
      </c>
      <c r="AC93">
        <v>0.97221786424472922</v>
      </c>
      <c r="AD93">
        <f t="shared" si="52"/>
        <v>9.7380982288657876</v>
      </c>
      <c r="AE93">
        <f t="shared" si="51"/>
        <v>6.9313107649793011</v>
      </c>
      <c r="AF93">
        <f t="shared" si="61"/>
        <v>6.7387441483446761E-2</v>
      </c>
      <c r="AG93" s="2">
        <f t="shared" ref="AG93:AG108" si="62">AF93*G93</f>
        <v>1.6846860370861689</v>
      </c>
      <c r="AH93">
        <v>15</v>
      </c>
      <c r="AI93">
        <f>AG93-AG94</f>
        <v>1.0139484377365884</v>
      </c>
      <c r="AJ93">
        <f t="shared" si="60"/>
        <v>6.7596562515772562E-2</v>
      </c>
      <c r="AK93" t="s">
        <v>51</v>
      </c>
    </row>
    <row r="94" spans="1:37" x14ac:dyDescent="0.2">
      <c r="A94" t="s">
        <v>49</v>
      </c>
      <c r="B94">
        <v>2017</v>
      </c>
      <c r="C94">
        <f t="shared" si="53"/>
        <v>8</v>
      </c>
      <c r="D94">
        <v>2</v>
      </c>
      <c r="E94">
        <v>1</v>
      </c>
      <c r="F94" t="s">
        <v>40</v>
      </c>
      <c r="G94">
        <v>10</v>
      </c>
      <c r="H94">
        <v>10</v>
      </c>
      <c r="I94">
        <f t="shared" si="39"/>
        <v>1</v>
      </c>
      <c r="J94">
        <v>4</v>
      </c>
      <c r="L94">
        <v>60</v>
      </c>
      <c r="M94">
        <v>1.879</v>
      </c>
      <c r="N94">
        <v>31.585999999999999</v>
      </c>
      <c r="O94">
        <f t="shared" si="35"/>
        <v>29.706999999999997</v>
      </c>
      <c r="P94">
        <v>18.035</v>
      </c>
      <c r="Q94">
        <f t="shared" si="36"/>
        <v>16.155999999999999</v>
      </c>
      <c r="R94">
        <f t="shared" si="54"/>
        <v>13.550999999999998</v>
      </c>
      <c r="S94" s="4">
        <f t="shared" si="55"/>
        <v>45.615511495607095</v>
      </c>
      <c r="T94">
        <v>3</v>
      </c>
      <c r="U94">
        <v>28.9649</v>
      </c>
      <c r="V94">
        <v>32.54</v>
      </c>
      <c r="W94">
        <f t="shared" si="56"/>
        <v>3.5750999999999991</v>
      </c>
      <c r="X94">
        <f t="shared" si="57"/>
        <v>3575.099999999999</v>
      </c>
      <c r="Y94">
        <v>32.216299999999997</v>
      </c>
      <c r="Z94">
        <f t="shared" si="58"/>
        <v>3.2513999999999967</v>
      </c>
      <c r="AA94">
        <f t="shared" si="37"/>
        <v>3251.3999999999969</v>
      </c>
      <c r="AB94">
        <f t="shared" si="59"/>
        <v>323.70000000000209</v>
      </c>
      <c r="AC94">
        <v>1.0090025504668434</v>
      </c>
      <c r="AD94">
        <f t="shared" si="52"/>
        <v>9.0542921876311766</v>
      </c>
      <c r="AE94">
        <f t="shared" si="51"/>
        <v>6.6475312578669383</v>
      </c>
      <c r="AF94">
        <f t="shared" si="61"/>
        <v>6.7073759934958052E-2</v>
      </c>
      <c r="AG94" s="2">
        <f t="shared" si="62"/>
        <v>0.67073759934958055</v>
      </c>
      <c r="AH94">
        <v>10</v>
      </c>
      <c r="AI94">
        <f>AG94</f>
        <v>0.67073759934958055</v>
      </c>
      <c r="AJ94">
        <f t="shared" si="60"/>
        <v>6.7073759934958052E-2</v>
      </c>
    </row>
    <row r="95" spans="1:37" x14ac:dyDescent="0.2">
      <c r="A95" t="s">
        <v>49</v>
      </c>
      <c r="B95">
        <v>2017</v>
      </c>
      <c r="C95">
        <f t="shared" si="53"/>
        <v>8</v>
      </c>
      <c r="D95">
        <v>2</v>
      </c>
      <c r="E95">
        <v>2</v>
      </c>
      <c r="F95" s="3" t="s">
        <v>41</v>
      </c>
      <c r="G95">
        <v>50</v>
      </c>
      <c r="H95">
        <v>18</v>
      </c>
      <c r="I95">
        <f t="shared" si="39"/>
        <v>0.36</v>
      </c>
      <c r="J95">
        <v>4</v>
      </c>
      <c r="L95">
        <v>61</v>
      </c>
      <c r="M95">
        <v>1.887</v>
      </c>
      <c r="N95">
        <v>35.898000000000003</v>
      </c>
      <c r="O95">
        <f t="shared" si="35"/>
        <v>34.011000000000003</v>
      </c>
      <c r="P95">
        <v>19.742999999999999</v>
      </c>
      <c r="Q95">
        <f t="shared" si="36"/>
        <v>17.855999999999998</v>
      </c>
      <c r="R95">
        <f t="shared" si="54"/>
        <v>16.155000000000005</v>
      </c>
      <c r="S95" s="4">
        <f t="shared" si="55"/>
        <v>47.499338449325229</v>
      </c>
      <c r="T95">
        <v>9</v>
      </c>
      <c r="U95">
        <v>30.433</v>
      </c>
      <c r="V95">
        <v>34.081800000000001</v>
      </c>
      <c r="W95">
        <f t="shared" si="56"/>
        <v>3.6488000000000014</v>
      </c>
      <c r="X95">
        <f t="shared" si="57"/>
        <v>3648.8000000000015</v>
      </c>
      <c r="Y95">
        <v>33.815600000000003</v>
      </c>
      <c r="Z95">
        <f t="shared" si="58"/>
        <v>3.3826000000000036</v>
      </c>
      <c r="AA95">
        <f t="shared" si="37"/>
        <v>3382.6000000000035</v>
      </c>
      <c r="AB95">
        <f t="shared" si="59"/>
        <v>266.199999999998</v>
      </c>
      <c r="AC95">
        <v>0.91301222541454419</v>
      </c>
      <c r="AD95">
        <f t="shared" si="52"/>
        <v>7.295549221661858</v>
      </c>
      <c r="AE95">
        <f t="shared" si="51"/>
        <v>5.9176529269896712</v>
      </c>
      <c r="AF95">
        <f t="shared" si="61"/>
        <v>5.4028894681017313E-2</v>
      </c>
      <c r="AG95" s="2">
        <f t="shared" si="62"/>
        <v>2.7014447340508658</v>
      </c>
      <c r="AH95">
        <v>25</v>
      </c>
      <c r="AI95">
        <f>AG95-(AI96+AI97)</f>
        <v>1.2959989032828043</v>
      </c>
      <c r="AJ95">
        <f t="shared" si="60"/>
        <v>5.1839956131312176E-2</v>
      </c>
      <c r="AK95" t="s">
        <v>52</v>
      </c>
    </row>
    <row r="96" spans="1:37" x14ac:dyDescent="0.2">
      <c r="A96" t="s">
        <v>49</v>
      </c>
      <c r="B96">
        <v>2017</v>
      </c>
      <c r="C96">
        <f t="shared" si="53"/>
        <v>8</v>
      </c>
      <c r="D96">
        <v>2</v>
      </c>
      <c r="E96">
        <v>2</v>
      </c>
      <c r="F96" t="s">
        <v>39</v>
      </c>
      <c r="G96">
        <v>25</v>
      </c>
      <c r="H96">
        <v>18</v>
      </c>
      <c r="I96">
        <f t="shared" si="39"/>
        <v>0.72</v>
      </c>
      <c r="J96">
        <v>4</v>
      </c>
      <c r="L96">
        <v>62</v>
      </c>
      <c r="M96">
        <v>1.8819999999999999</v>
      </c>
      <c r="N96">
        <v>33.582000000000001</v>
      </c>
      <c r="O96">
        <f t="shared" si="35"/>
        <v>31.7</v>
      </c>
      <c r="P96">
        <v>20.844999999999999</v>
      </c>
      <c r="Q96">
        <f t="shared" si="36"/>
        <v>18.962999999999997</v>
      </c>
      <c r="R96">
        <f t="shared" si="54"/>
        <v>12.737000000000002</v>
      </c>
      <c r="S96" s="4">
        <f t="shared" si="55"/>
        <v>40.179810725552059</v>
      </c>
      <c r="T96">
        <v>6</v>
      </c>
      <c r="U96">
        <v>30.164100000000001</v>
      </c>
      <c r="V96">
        <v>33.5717</v>
      </c>
      <c r="W96">
        <f t="shared" si="56"/>
        <v>3.4075999999999986</v>
      </c>
      <c r="X96">
        <f t="shared" si="57"/>
        <v>3407.5999999999985</v>
      </c>
      <c r="Y96">
        <v>33.334200000000003</v>
      </c>
      <c r="Z96">
        <f t="shared" si="58"/>
        <v>3.1701000000000015</v>
      </c>
      <c r="AA96">
        <f t="shared" si="37"/>
        <v>3170.1000000000013</v>
      </c>
      <c r="AB96">
        <f t="shared" si="59"/>
        <v>237.49999999999727</v>
      </c>
      <c r="AC96">
        <v>0.97221786424472922</v>
      </c>
      <c r="AD96">
        <f t="shared" si="52"/>
        <v>6.9697147552528875</v>
      </c>
      <c r="AE96">
        <f t="shared" si="51"/>
        <v>5.7824316234299484</v>
      </c>
      <c r="AF96">
        <f t="shared" si="61"/>
        <v>5.6217833230722464E-2</v>
      </c>
      <c r="AG96" s="2">
        <f t="shared" si="62"/>
        <v>1.4054458307680615</v>
      </c>
      <c r="AH96">
        <v>15</v>
      </c>
      <c r="AI96">
        <f>AG96-AG97</f>
        <v>0.82706177415147741</v>
      </c>
      <c r="AJ96">
        <f t="shared" si="60"/>
        <v>5.5137451610098497E-2</v>
      </c>
    </row>
    <row r="97" spans="1:37" x14ac:dyDescent="0.2">
      <c r="A97" t="s">
        <v>49</v>
      </c>
      <c r="B97">
        <v>2017</v>
      </c>
      <c r="C97">
        <f t="shared" si="53"/>
        <v>8</v>
      </c>
      <c r="D97">
        <v>2</v>
      </c>
      <c r="E97">
        <v>2</v>
      </c>
      <c r="F97" t="s">
        <v>40</v>
      </c>
      <c r="G97">
        <v>10</v>
      </c>
      <c r="H97">
        <v>10</v>
      </c>
      <c r="I97">
        <f t="shared" si="39"/>
        <v>1</v>
      </c>
      <c r="J97">
        <v>4</v>
      </c>
      <c r="L97">
        <v>63</v>
      </c>
      <c r="M97">
        <v>1.879</v>
      </c>
      <c r="N97">
        <v>36.164000000000001</v>
      </c>
      <c r="O97">
        <f t="shared" si="35"/>
        <v>34.285000000000004</v>
      </c>
      <c r="P97">
        <v>23.641999999999999</v>
      </c>
      <c r="Q97">
        <f t="shared" si="36"/>
        <v>21.762999999999998</v>
      </c>
      <c r="R97">
        <f t="shared" si="54"/>
        <v>12.522000000000006</v>
      </c>
      <c r="S97" s="4">
        <f t="shared" si="55"/>
        <v>36.523260901268792</v>
      </c>
      <c r="T97">
        <v>16</v>
      </c>
      <c r="U97">
        <v>28.4528</v>
      </c>
      <c r="V97">
        <v>32.161499999999997</v>
      </c>
      <c r="W97">
        <f t="shared" si="56"/>
        <v>3.7086999999999968</v>
      </c>
      <c r="X97">
        <f t="shared" si="57"/>
        <v>3708.6999999999966</v>
      </c>
      <c r="Y97">
        <v>31.907499999999999</v>
      </c>
      <c r="Z97">
        <f t="shared" si="58"/>
        <v>3.454699999999999</v>
      </c>
      <c r="AA97">
        <f t="shared" si="37"/>
        <v>3454.6999999999989</v>
      </c>
      <c r="AB97">
        <f t="shared" si="59"/>
        <v>253.99999999999773</v>
      </c>
      <c r="AC97">
        <v>1.0090025504668434</v>
      </c>
      <c r="AD97">
        <f t="shared" si="52"/>
        <v>6.8487610213821011</v>
      </c>
      <c r="AE97">
        <f t="shared" si="51"/>
        <v>5.7322358238735713</v>
      </c>
      <c r="AF97">
        <f t="shared" si="61"/>
        <v>5.7838405661658411E-2</v>
      </c>
      <c r="AG97" s="2">
        <f t="shared" si="62"/>
        <v>0.5783840566165841</v>
      </c>
      <c r="AH97">
        <v>10</v>
      </c>
      <c r="AI97">
        <f>AG97</f>
        <v>0.5783840566165841</v>
      </c>
      <c r="AJ97">
        <f t="shared" si="60"/>
        <v>5.7838405661658411E-2</v>
      </c>
      <c r="AK97" t="s">
        <v>53</v>
      </c>
    </row>
    <row r="98" spans="1:37" x14ac:dyDescent="0.2">
      <c r="A98" t="s">
        <v>49</v>
      </c>
      <c r="B98">
        <v>2017</v>
      </c>
      <c r="C98">
        <f t="shared" si="53"/>
        <v>8</v>
      </c>
      <c r="D98">
        <v>2</v>
      </c>
      <c r="E98">
        <v>3</v>
      </c>
      <c r="F98" t="s">
        <v>41</v>
      </c>
      <c r="G98">
        <v>50</v>
      </c>
      <c r="H98">
        <v>16</v>
      </c>
      <c r="I98">
        <f t="shared" si="39"/>
        <v>0.32</v>
      </c>
      <c r="J98">
        <v>4</v>
      </c>
      <c r="L98">
        <v>64</v>
      </c>
      <c r="M98">
        <v>1.893</v>
      </c>
      <c r="N98">
        <v>35.481999999999999</v>
      </c>
      <c r="O98">
        <f t="shared" si="35"/>
        <v>33.588999999999999</v>
      </c>
      <c r="P98">
        <v>19.297000000000001</v>
      </c>
      <c r="Q98">
        <f t="shared" si="36"/>
        <v>17.404</v>
      </c>
      <c r="R98">
        <f t="shared" si="54"/>
        <v>16.184999999999999</v>
      </c>
      <c r="S98" s="4">
        <f t="shared" si="55"/>
        <v>48.185417845127866</v>
      </c>
      <c r="T98">
        <v>5</v>
      </c>
      <c r="U98">
        <v>22.167100000000001</v>
      </c>
      <c r="V98">
        <v>24.8886</v>
      </c>
      <c r="W98">
        <f t="shared" si="56"/>
        <v>2.7214999999999989</v>
      </c>
      <c r="X98">
        <f t="shared" si="57"/>
        <v>2721.4999999999991</v>
      </c>
      <c r="Y98">
        <v>24.610399999999998</v>
      </c>
      <c r="Z98">
        <f t="shared" si="58"/>
        <v>2.4432999999999971</v>
      </c>
      <c r="AA98">
        <f t="shared" si="37"/>
        <v>2443.299999999997</v>
      </c>
      <c r="AB98">
        <f t="shared" si="59"/>
        <v>278.20000000000209</v>
      </c>
      <c r="AC98">
        <v>0.91301222541454419</v>
      </c>
      <c r="AD98">
        <f t="shared" si="52"/>
        <v>10.222303876538753</v>
      </c>
      <c r="AE98">
        <f t="shared" si="51"/>
        <v>7.132256108763583</v>
      </c>
      <c r="AF98">
        <f t="shared" si="61"/>
        <v>6.5118370220887165E-2</v>
      </c>
      <c r="AG98" s="2">
        <f t="shared" si="62"/>
        <v>3.2559185110443583</v>
      </c>
      <c r="AH98">
        <v>25</v>
      </c>
      <c r="AI98" s="5">
        <f>AG98-(AI99+AI100)</f>
        <v>-1.5481963753685619</v>
      </c>
      <c r="AJ98" s="5">
        <f t="shared" si="60"/>
        <v>-6.1927855014742475E-2</v>
      </c>
      <c r="AK98" t="s">
        <v>54</v>
      </c>
    </row>
    <row r="99" spans="1:37" x14ac:dyDescent="0.2">
      <c r="A99" t="s">
        <v>49</v>
      </c>
      <c r="B99">
        <v>2017</v>
      </c>
      <c r="C99">
        <f t="shared" si="53"/>
        <v>8</v>
      </c>
      <c r="D99">
        <v>2</v>
      </c>
      <c r="E99">
        <v>3</v>
      </c>
      <c r="F99" t="s">
        <v>39</v>
      </c>
      <c r="G99">
        <v>25</v>
      </c>
      <c r="H99">
        <v>19.5</v>
      </c>
      <c r="I99">
        <f t="shared" si="39"/>
        <v>0.78</v>
      </c>
      <c r="J99">
        <v>4</v>
      </c>
      <c r="L99">
        <v>65</v>
      </c>
      <c r="M99">
        <v>1.895</v>
      </c>
      <c r="N99">
        <v>33.335000000000001</v>
      </c>
      <c r="O99">
        <f t="shared" si="35"/>
        <v>31.44</v>
      </c>
      <c r="P99">
        <v>17.021000000000001</v>
      </c>
      <c r="Q99">
        <f t="shared" si="36"/>
        <v>15.126000000000001</v>
      </c>
      <c r="R99">
        <f t="shared" si="54"/>
        <v>16.314</v>
      </c>
      <c r="S99" s="4">
        <f t="shared" si="55"/>
        <v>51.88931297709923</v>
      </c>
      <c r="T99">
        <v>18</v>
      </c>
      <c r="U99">
        <v>27.3673</v>
      </c>
      <c r="V99">
        <v>30.270600000000002</v>
      </c>
      <c r="W99">
        <f t="shared" si="56"/>
        <v>2.9033000000000015</v>
      </c>
      <c r="X99">
        <f t="shared" si="57"/>
        <v>2903.3000000000015</v>
      </c>
      <c r="Y99">
        <v>29.09</v>
      </c>
      <c r="Z99">
        <f t="shared" si="58"/>
        <v>1.7226999999999997</v>
      </c>
      <c r="AA99">
        <f t="shared" si="37"/>
        <v>1722.6999999999996</v>
      </c>
      <c r="AB99">
        <f>X99-AA99</f>
        <v>1180.600000000002</v>
      </c>
      <c r="AC99">
        <v>0.97221786424472922</v>
      </c>
      <c r="AD99">
        <f t="shared" si="52"/>
        <v>40.664071918162136</v>
      </c>
      <c r="AE99">
        <f t="shared" si="51"/>
        <v>19.765589846037287</v>
      </c>
      <c r="AF99">
        <f t="shared" si="61"/>
        <v>0.19216459545651679</v>
      </c>
      <c r="AG99" s="2">
        <f t="shared" si="62"/>
        <v>4.8041148864129202</v>
      </c>
      <c r="AH99">
        <v>15</v>
      </c>
      <c r="AI99" s="5">
        <f t="shared" ref="AI99" si="63">AG99-AG100</f>
        <v>4.0595916117760407</v>
      </c>
      <c r="AJ99" s="5">
        <f t="shared" si="60"/>
        <v>0.27063944078506935</v>
      </c>
    </row>
    <row r="100" spans="1:37" x14ac:dyDescent="0.2">
      <c r="A100" t="s">
        <v>49</v>
      </c>
      <c r="B100">
        <v>2017</v>
      </c>
      <c r="C100">
        <f t="shared" si="53"/>
        <v>8</v>
      </c>
      <c r="D100">
        <v>2</v>
      </c>
      <c r="E100">
        <v>3</v>
      </c>
      <c r="F100" t="s">
        <v>40</v>
      </c>
      <c r="G100">
        <v>10</v>
      </c>
      <c r="H100">
        <v>10</v>
      </c>
      <c r="I100">
        <f t="shared" si="39"/>
        <v>1</v>
      </c>
      <c r="J100">
        <v>4</v>
      </c>
      <c r="L100">
        <v>66</v>
      </c>
      <c r="M100">
        <v>1.879</v>
      </c>
      <c r="N100">
        <v>34.139000000000003</v>
      </c>
      <c r="O100">
        <f t="shared" si="35"/>
        <v>32.260000000000005</v>
      </c>
      <c r="P100">
        <v>17.376999999999999</v>
      </c>
      <c r="Q100">
        <f t="shared" si="36"/>
        <v>15.497999999999999</v>
      </c>
      <c r="R100">
        <f t="shared" si="54"/>
        <v>16.762000000000008</v>
      </c>
      <c r="S100" s="4">
        <f t="shared" si="55"/>
        <v>51.959082455052709</v>
      </c>
      <c r="T100">
        <v>11</v>
      </c>
      <c r="U100">
        <v>27.4434</v>
      </c>
      <c r="V100">
        <v>30.346399999999999</v>
      </c>
      <c r="W100">
        <f t="shared" si="56"/>
        <v>2.9029999999999987</v>
      </c>
      <c r="X100">
        <f t="shared" si="57"/>
        <v>2902.9999999999986</v>
      </c>
      <c r="Y100">
        <v>30.032399999999999</v>
      </c>
      <c r="Z100">
        <f t="shared" si="58"/>
        <v>2.5889999999999986</v>
      </c>
      <c r="AA100">
        <f t="shared" si="37"/>
        <v>2588.9999999999986</v>
      </c>
      <c r="AB100">
        <f t="shared" si="59"/>
        <v>314</v>
      </c>
      <c r="AC100">
        <v>1.0090025504668434</v>
      </c>
      <c r="AD100">
        <f t="shared" si="52"/>
        <v>10.816396830864628</v>
      </c>
      <c r="AE100">
        <f t="shared" si="51"/>
        <v>7.37880468480882</v>
      </c>
      <c r="AF100">
        <f t="shared" si="61"/>
        <v>7.445232746368792E-2</v>
      </c>
      <c r="AG100" s="2">
        <f t="shared" si="62"/>
        <v>0.74452327463687917</v>
      </c>
      <c r="AH100">
        <v>10</v>
      </c>
      <c r="AI100">
        <f t="shared" ref="AI100" si="64">AG100</f>
        <v>0.74452327463687917</v>
      </c>
      <c r="AJ100">
        <f t="shared" si="60"/>
        <v>7.445232746368792E-2</v>
      </c>
    </row>
    <row r="101" spans="1:37" x14ac:dyDescent="0.2">
      <c r="A101" t="s">
        <v>55</v>
      </c>
      <c r="B101">
        <v>2025</v>
      </c>
      <c r="C101">
        <f>2025-B101</f>
        <v>0</v>
      </c>
      <c r="D101">
        <v>1</v>
      </c>
      <c r="E101">
        <v>1</v>
      </c>
      <c r="F101" t="s">
        <v>38</v>
      </c>
      <c r="G101">
        <v>50</v>
      </c>
      <c r="H101">
        <v>14</v>
      </c>
      <c r="I101">
        <f>H101/G101</f>
        <v>0.28000000000000003</v>
      </c>
      <c r="J101">
        <v>4</v>
      </c>
      <c r="L101">
        <v>1</v>
      </c>
      <c r="M101">
        <v>1.8680000000000001</v>
      </c>
      <c r="N101">
        <v>35.682000000000002</v>
      </c>
      <c r="O101">
        <f t="shared" si="35"/>
        <v>33.814</v>
      </c>
      <c r="P101">
        <v>8.2119999999999997</v>
      </c>
      <c r="Q101">
        <f t="shared" si="36"/>
        <v>6.3439999999999994</v>
      </c>
      <c r="R101">
        <f>O101-Q101</f>
        <v>27.47</v>
      </c>
      <c r="S101">
        <f>((O101-Q101)/O101)*100</f>
        <v>81.23854024960076</v>
      </c>
      <c r="T101">
        <v>1</v>
      </c>
      <c r="U101">
        <v>27.968599999999999</v>
      </c>
      <c r="V101">
        <v>30.301300000000001</v>
      </c>
      <c r="W101">
        <f>V101-U101</f>
        <v>2.3327000000000027</v>
      </c>
      <c r="X101">
        <f>W101*1000</f>
        <v>2332.7000000000025</v>
      </c>
      <c r="Y101">
        <v>28.4863</v>
      </c>
      <c r="Z101">
        <f>Y101-U101</f>
        <v>0.51770000000000138</v>
      </c>
      <c r="AA101">
        <f t="shared" si="37"/>
        <v>517.70000000000141</v>
      </c>
      <c r="AB101">
        <f>X101-AA101</f>
        <v>1815.0000000000011</v>
      </c>
      <c r="AC101">
        <v>0.24107995004844848</v>
      </c>
      <c r="AD101">
        <f t="shared" si="52"/>
        <v>77.806833283319719</v>
      </c>
      <c r="AE101">
        <f t="shared" si="51"/>
        <v>35.179835812577686</v>
      </c>
      <c r="AF101">
        <f t="shared" si="61"/>
        <v>8.4811530604088484E-2</v>
      </c>
      <c r="AG101">
        <f t="shared" si="62"/>
        <v>4.2405765302044243</v>
      </c>
      <c r="AH101" t="s">
        <v>38</v>
      </c>
      <c r="AI101">
        <v>25</v>
      </c>
      <c r="AJ101">
        <f>AF101-(AJ102+AJ103)</f>
        <v>1.1050418916669774E-2</v>
      </c>
    </row>
    <row r="102" spans="1:37" x14ac:dyDescent="0.2">
      <c r="A102" t="s">
        <v>55</v>
      </c>
      <c r="B102">
        <v>2025</v>
      </c>
      <c r="C102">
        <f t="shared" ref="C102:C109" si="65">2025-B102</f>
        <v>0</v>
      </c>
      <c r="D102">
        <v>1</v>
      </c>
      <c r="E102">
        <v>1</v>
      </c>
      <c r="F102" t="s">
        <v>39</v>
      </c>
      <c r="G102">
        <v>25</v>
      </c>
      <c r="H102">
        <v>11</v>
      </c>
      <c r="I102">
        <f t="shared" ref="I102:I109" si="66">H102/G102</f>
        <v>0.44</v>
      </c>
      <c r="J102">
        <v>4</v>
      </c>
      <c r="L102">
        <v>2</v>
      </c>
      <c r="M102">
        <v>1.87</v>
      </c>
      <c r="N102">
        <v>33.213999999999999</v>
      </c>
      <c r="O102">
        <f t="shared" si="35"/>
        <v>31.343999999999998</v>
      </c>
      <c r="P102">
        <v>8.07</v>
      </c>
      <c r="Q102">
        <f t="shared" si="36"/>
        <v>6.2</v>
      </c>
      <c r="R102">
        <f t="shared" ref="R102:R109" si="67">O102-Q102</f>
        <v>25.143999999999998</v>
      </c>
      <c r="S102">
        <f t="shared" ref="S102:S109" si="68">((O102-Q102)/O102)*100</f>
        <v>80.219499744767745</v>
      </c>
      <c r="T102">
        <v>6</v>
      </c>
      <c r="U102">
        <v>30.164300000000001</v>
      </c>
      <c r="V102">
        <v>32.866199999999999</v>
      </c>
      <c r="W102">
        <f t="shared" ref="W102:W108" si="69">V102-U102</f>
        <v>2.7018999999999984</v>
      </c>
      <c r="X102">
        <f t="shared" ref="X102:X108" si="70">W102*1000</f>
        <v>2701.8999999999983</v>
      </c>
      <c r="Y102">
        <v>30.791399999999999</v>
      </c>
      <c r="Z102">
        <f t="shared" ref="Z102:Z108" si="71">Y102-U102</f>
        <v>0.62709999999999866</v>
      </c>
      <c r="AA102">
        <f t="shared" si="37"/>
        <v>627.09999999999866</v>
      </c>
      <c r="AB102">
        <f t="shared" ref="AB102:AB108" si="72">X102-AA102</f>
        <v>2074.7999999999997</v>
      </c>
      <c r="AC102">
        <v>0.21221322224515593</v>
      </c>
      <c r="AD102">
        <f t="shared" si="52"/>
        <v>76.790406750805033</v>
      </c>
      <c r="AE102">
        <f t="shared" si="51"/>
        <v>34.758018801584086</v>
      </c>
      <c r="AF102">
        <f t="shared" si="61"/>
        <v>7.3761111687418709E-2</v>
      </c>
      <c r="AG102">
        <f t="shared" si="62"/>
        <v>1.8440277921854678</v>
      </c>
      <c r="AH102" t="s">
        <v>39</v>
      </c>
      <c r="AI102">
        <v>15</v>
      </c>
      <c r="AJ102">
        <f>AF102-AF103</f>
        <v>2.6639750160751728E-2</v>
      </c>
    </row>
    <row r="103" spans="1:37" x14ac:dyDescent="0.2">
      <c r="A103" t="s">
        <v>55</v>
      </c>
      <c r="B103">
        <v>2025</v>
      </c>
      <c r="C103">
        <f t="shared" si="65"/>
        <v>0</v>
      </c>
      <c r="D103">
        <v>1</v>
      </c>
      <c r="E103">
        <v>1</v>
      </c>
      <c r="F103" t="s">
        <v>40</v>
      </c>
      <c r="G103">
        <v>10</v>
      </c>
      <c r="H103">
        <v>8</v>
      </c>
      <c r="I103">
        <f t="shared" si="66"/>
        <v>0.8</v>
      </c>
      <c r="J103">
        <v>4</v>
      </c>
      <c r="L103">
        <v>3</v>
      </c>
      <c r="M103">
        <v>1.879</v>
      </c>
      <c r="N103">
        <v>30.547999999999998</v>
      </c>
      <c r="O103">
        <f t="shared" si="35"/>
        <v>28.668999999999997</v>
      </c>
      <c r="P103">
        <v>6.3860000000000001</v>
      </c>
      <c r="Q103">
        <f t="shared" si="36"/>
        <v>4.5069999999999997</v>
      </c>
      <c r="R103">
        <f t="shared" si="67"/>
        <v>24.161999999999999</v>
      </c>
      <c r="S103">
        <f t="shared" si="68"/>
        <v>84.279186577836697</v>
      </c>
      <c r="T103">
        <v>15</v>
      </c>
      <c r="U103">
        <v>27.8385</v>
      </c>
      <c r="V103">
        <v>30.345199999999998</v>
      </c>
      <c r="W103">
        <f t="shared" si="69"/>
        <v>2.5066999999999986</v>
      </c>
      <c r="X103">
        <f t="shared" si="70"/>
        <v>2506.6999999999985</v>
      </c>
      <c r="Y103">
        <v>28.4541</v>
      </c>
      <c r="Z103">
        <f>Y103-U103</f>
        <v>0.61560000000000059</v>
      </c>
      <c r="AA103">
        <f t="shared" si="37"/>
        <v>615.60000000000059</v>
      </c>
      <c r="AB103">
        <f t="shared" si="72"/>
        <v>1891.0999999999979</v>
      </c>
      <c r="AC103">
        <v>0.13778839198180839</v>
      </c>
      <c r="AD103">
        <f t="shared" si="52"/>
        <v>75.441815933298713</v>
      </c>
      <c r="AE103">
        <f t="shared" si="51"/>
        <v>34.198353612318961</v>
      </c>
      <c r="AF103">
        <f t="shared" si="61"/>
        <v>4.7121361526666981E-2</v>
      </c>
      <c r="AG103">
        <f t="shared" si="62"/>
        <v>0.47121361526666983</v>
      </c>
      <c r="AH103" t="s">
        <v>40</v>
      </c>
      <c r="AI103">
        <v>10</v>
      </c>
      <c r="AJ103">
        <f>AF103</f>
        <v>4.7121361526666981E-2</v>
      </c>
    </row>
    <row r="104" spans="1:37" x14ac:dyDescent="0.2">
      <c r="A104" t="s">
        <v>55</v>
      </c>
      <c r="B104">
        <v>2025</v>
      </c>
      <c r="C104">
        <f t="shared" si="65"/>
        <v>0</v>
      </c>
      <c r="D104">
        <v>1</v>
      </c>
      <c r="E104">
        <v>2</v>
      </c>
      <c r="F104" s="3" t="s">
        <v>41</v>
      </c>
      <c r="G104">
        <v>50</v>
      </c>
      <c r="H104">
        <v>24</v>
      </c>
      <c r="I104">
        <f t="shared" si="66"/>
        <v>0.48</v>
      </c>
      <c r="J104">
        <v>4</v>
      </c>
      <c r="L104">
        <v>4</v>
      </c>
      <c r="M104">
        <v>1.887</v>
      </c>
      <c r="N104">
        <v>28.922000000000001</v>
      </c>
      <c r="O104">
        <f t="shared" si="35"/>
        <v>27.035</v>
      </c>
      <c r="P104">
        <v>6.5289999999999999</v>
      </c>
      <c r="Q104">
        <f t="shared" si="36"/>
        <v>4.6419999999999995</v>
      </c>
      <c r="R104">
        <f t="shared" si="67"/>
        <v>22.393000000000001</v>
      </c>
      <c r="S104">
        <f t="shared" si="68"/>
        <v>82.82966524875161</v>
      </c>
      <c r="T104">
        <v>8</v>
      </c>
      <c r="U104">
        <v>27.346</v>
      </c>
      <c r="V104">
        <v>29.743400000000001</v>
      </c>
      <c r="W104">
        <f t="shared" si="69"/>
        <v>2.3974000000000011</v>
      </c>
      <c r="X104">
        <f t="shared" si="70"/>
        <v>2397.400000000001</v>
      </c>
      <c r="Y104">
        <v>27.889199999999999</v>
      </c>
      <c r="Z104">
        <f t="shared" si="71"/>
        <v>0.54319999999999879</v>
      </c>
      <c r="AA104">
        <f t="shared" si="37"/>
        <v>543.19999999999879</v>
      </c>
      <c r="AB104">
        <f t="shared" si="72"/>
        <v>1854.2000000000021</v>
      </c>
      <c r="AC104">
        <v>0.24107995004844848</v>
      </c>
      <c r="AD104">
        <f t="shared" si="52"/>
        <v>77.342120630683297</v>
      </c>
      <c r="AE104">
        <f t="shared" si="51"/>
        <v>34.986980061733568</v>
      </c>
      <c r="AF104">
        <f t="shared" si="61"/>
        <v>8.4346594056287916E-2</v>
      </c>
      <c r="AG104">
        <f t="shared" si="62"/>
        <v>4.2173297028143955</v>
      </c>
      <c r="AH104" s="3" t="s">
        <v>41</v>
      </c>
      <c r="AI104">
        <v>25</v>
      </c>
      <c r="AJ104">
        <f>AF104-(AJ105+AJ106)</f>
        <v>1.0846074193304342E-2</v>
      </c>
    </row>
    <row r="105" spans="1:37" x14ac:dyDescent="0.2">
      <c r="A105" t="s">
        <v>55</v>
      </c>
      <c r="B105">
        <v>2025</v>
      </c>
      <c r="C105">
        <f t="shared" si="65"/>
        <v>0</v>
      </c>
      <c r="D105">
        <v>1</v>
      </c>
      <c r="E105">
        <v>2</v>
      </c>
      <c r="F105" t="s">
        <v>39</v>
      </c>
      <c r="G105">
        <v>25</v>
      </c>
      <c r="H105">
        <v>18</v>
      </c>
      <c r="I105">
        <f t="shared" si="66"/>
        <v>0.72</v>
      </c>
      <c r="J105">
        <v>4</v>
      </c>
      <c r="L105">
        <v>5</v>
      </c>
      <c r="M105">
        <v>1.893</v>
      </c>
      <c r="N105">
        <v>32.536999999999999</v>
      </c>
      <c r="O105">
        <f t="shared" si="35"/>
        <v>30.643999999999998</v>
      </c>
      <c r="P105">
        <v>6.83</v>
      </c>
      <c r="Q105">
        <f t="shared" si="36"/>
        <v>4.9370000000000003</v>
      </c>
      <c r="R105">
        <f t="shared" si="67"/>
        <v>25.706999999999997</v>
      </c>
      <c r="S105">
        <f t="shared" si="68"/>
        <v>83.889178958360517</v>
      </c>
      <c r="T105">
        <v>13</v>
      </c>
      <c r="U105">
        <v>22.196400000000001</v>
      </c>
      <c r="V105">
        <v>24.901299999999999</v>
      </c>
      <c r="W105">
        <f t="shared" si="69"/>
        <v>2.7048999999999985</v>
      </c>
      <c r="X105">
        <f t="shared" si="70"/>
        <v>2704.8999999999987</v>
      </c>
      <c r="Y105">
        <v>22.8322</v>
      </c>
      <c r="Z105">
        <f t="shared" si="71"/>
        <v>0.6357999999999997</v>
      </c>
      <c r="AA105">
        <f t="shared" si="37"/>
        <v>635.79999999999973</v>
      </c>
      <c r="AB105">
        <f t="shared" si="72"/>
        <v>2069.099999999999</v>
      </c>
      <c r="AC105">
        <v>0.21221322224515593</v>
      </c>
      <c r="AD105">
        <f t="shared" si="52"/>
        <v>76.494509963399764</v>
      </c>
      <c r="AE105">
        <f t="shared" si="51"/>
        <v>34.635221634810897</v>
      </c>
      <c r="AF105">
        <f t="shared" si="61"/>
        <v>7.3500519862983574E-2</v>
      </c>
      <c r="AG105">
        <f t="shared" si="62"/>
        <v>1.8375129965745893</v>
      </c>
      <c r="AH105" t="s">
        <v>39</v>
      </c>
      <c r="AI105">
        <v>15</v>
      </c>
      <c r="AJ105">
        <f>AF105-AF106</f>
        <v>2.7439909352431867E-2</v>
      </c>
      <c r="AK105" t="s">
        <v>56</v>
      </c>
    </row>
    <row r="106" spans="1:37" x14ac:dyDescent="0.2">
      <c r="A106" t="s">
        <v>55</v>
      </c>
      <c r="B106">
        <v>2025</v>
      </c>
      <c r="C106">
        <f t="shared" si="65"/>
        <v>0</v>
      </c>
      <c r="D106">
        <v>1</v>
      </c>
      <c r="E106">
        <v>2</v>
      </c>
      <c r="F106" t="s">
        <v>40</v>
      </c>
      <c r="G106">
        <v>10</v>
      </c>
      <c r="H106">
        <v>10</v>
      </c>
      <c r="I106">
        <f t="shared" si="66"/>
        <v>1</v>
      </c>
      <c r="J106">
        <v>4</v>
      </c>
      <c r="L106">
        <v>6</v>
      </c>
      <c r="M106">
        <v>1.881</v>
      </c>
      <c r="N106">
        <v>33.601999999999997</v>
      </c>
      <c r="O106">
        <f t="shared" si="35"/>
        <v>31.720999999999997</v>
      </c>
      <c r="P106">
        <v>6.5640000000000001</v>
      </c>
      <c r="Q106">
        <f t="shared" si="36"/>
        <v>4.6829999999999998</v>
      </c>
      <c r="R106">
        <f t="shared" si="67"/>
        <v>27.037999999999997</v>
      </c>
      <c r="S106">
        <f t="shared" si="68"/>
        <v>85.236909302985396</v>
      </c>
      <c r="T106">
        <v>2</v>
      </c>
      <c r="U106">
        <v>26.645499999999998</v>
      </c>
      <c r="V106">
        <v>28.962900000000001</v>
      </c>
      <c r="W106">
        <f t="shared" si="69"/>
        <v>2.3174000000000028</v>
      </c>
      <c r="X106">
        <f t="shared" si="70"/>
        <v>2317.4000000000028</v>
      </c>
      <c r="Y106">
        <v>27.2576</v>
      </c>
      <c r="Z106">
        <f>Y106-U106</f>
        <v>0.61210000000000164</v>
      </c>
      <c r="AA106">
        <f t="shared" si="37"/>
        <v>612.10000000000161</v>
      </c>
      <c r="AB106">
        <f t="shared" si="72"/>
        <v>1705.3000000000011</v>
      </c>
      <c r="AC106">
        <v>0.13778839198180839</v>
      </c>
      <c r="AD106">
        <f t="shared" si="52"/>
        <v>73.586778286010144</v>
      </c>
      <c r="AE106">
        <f t="shared" si="51"/>
        <v>33.428512988694209</v>
      </c>
      <c r="AF106">
        <f t="shared" si="61"/>
        <v>4.6060610510551707E-2</v>
      </c>
      <c r="AG106">
        <f t="shared" si="62"/>
        <v>0.46060610510551708</v>
      </c>
      <c r="AH106" t="s">
        <v>40</v>
      </c>
      <c r="AI106">
        <v>10</v>
      </c>
      <c r="AJ106">
        <f>AF106</f>
        <v>4.6060610510551707E-2</v>
      </c>
      <c r="AK106" t="s">
        <v>57</v>
      </c>
    </row>
    <row r="107" spans="1:37" x14ac:dyDescent="0.2">
      <c r="A107" t="s">
        <v>55</v>
      </c>
      <c r="B107">
        <v>2025</v>
      </c>
      <c r="C107">
        <f t="shared" si="65"/>
        <v>0</v>
      </c>
      <c r="D107">
        <v>1</v>
      </c>
      <c r="E107">
        <v>3</v>
      </c>
      <c r="F107" s="3" t="s">
        <v>41</v>
      </c>
      <c r="G107">
        <v>50</v>
      </c>
      <c r="H107">
        <v>25</v>
      </c>
      <c r="I107">
        <f t="shared" si="66"/>
        <v>0.5</v>
      </c>
      <c r="J107">
        <v>4</v>
      </c>
      <c r="L107">
        <v>7</v>
      </c>
      <c r="M107">
        <v>1.863</v>
      </c>
      <c r="N107">
        <v>29.98</v>
      </c>
      <c r="O107">
        <f t="shared" si="35"/>
        <v>28.117000000000001</v>
      </c>
      <c r="P107">
        <v>8.0239999999999991</v>
      </c>
      <c r="Q107">
        <f t="shared" si="36"/>
        <v>6.1609999999999996</v>
      </c>
      <c r="R107">
        <f t="shared" si="67"/>
        <v>21.956000000000003</v>
      </c>
      <c r="S107">
        <f t="shared" si="68"/>
        <v>78.087989472561091</v>
      </c>
      <c r="T107">
        <v>21</v>
      </c>
      <c r="U107">
        <v>31.079699999999999</v>
      </c>
      <c r="V107">
        <v>33.519500000000001</v>
      </c>
      <c r="W107">
        <f t="shared" si="69"/>
        <v>2.4398000000000017</v>
      </c>
      <c r="X107">
        <f t="shared" si="70"/>
        <v>2439.8000000000015</v>
      </c>
      <c r="Y107">
        <v>31.578199999999999</v>
      </c>
      <c r="Z107">
        <f t="shared" si="71"/>
        <v>0.49849999999999994</v>
      </c>
      <c r="AA107">
        <f t="shared" si="37"/>
        <v>498.49999999999994</v>
      </c>
      <c r="AB107">
        <f t="shared" si="72"/>
        <v>1941.3000000000015</v>
      </c>
      <c r="AC107">
        <v>0.24107995004844848</v>
      </c>
      <c r="AD107">
        <f t="shared" si="52"/>
        <v>79.567997376834171</v>
      </c>
      <c r="AE107">
        <f t="shared" si="51"/>
        <v>35.910718911386176</v>
      </c>
      <c r="AF107">
        <f t="shared" si="61"/>
        <v>8.6573543213608536E-2</v>
      </c>
      <c r="AG107">
        <f t="shared" si="62"/>
        <v>4.3286771606804271</v>
      </c>
      <c r="AH107" s="3" t="s">
        <v>41</v>
      </c>
      <c r="AI107">
        <v>25</v>
      </c>
      <c r="AJ107">
        <f t="shared" ref="AJ107" si="73">AF107-(AJ108+AJ109)</f>
        <v>9.0550332335397332E-3</v>
      </c>
      <c r="AK107" t="s">
        <v>58</v>
      </c>
    </row>
    <row r="108" spans="1:37" x14ac:dyDescent="0.2">
      <c r="A108" t="s">
        <v>55</v>
      </c>
      <c r="B108">
        <v>2025</v>
      </c>
      <c r="C108">
        <f t="shared" si="65"/>
        <v>0</v>
      </c>
      <c r="D108">
        <v>1</v>
      </c>
      <c r="E108">
        <v>3</v>
      </c>
      <c r="F108" t="s">
        <v>39</v>
      </c>
      <c r="G108">
        <v>25</v>
      </c>
      <c r="H108">
        <v>20</v>
      </c>
      <c r="I108">
        <f t="shared" si="66"/>
        <v>0.8</v>
      </c>
      <c r="J108">
        <v>4</v>
      </c>
      <c r="L108">
        <v>8</v>
      </c>
      <c r="M108">
        <v>1.8740000000000001</v>
      </c>
      <c r="N108">
        <v>30.741</v>
      </c>
      <c r="O108">
        <f t="shared" si="35"/>
        <v>28.867000000000001</v>
      </c>
      <c r="P108">
        <v>7.8330000000000002</v>
      </c>
      <c r="Q108">
        <f t="shared" si="36"/>
        <v>5.9589999999999996</v>
      </c>
      <c r="R108">
        <f t="shared" si="67"/>
        <v>22.908000000000001</v>
      </c>
      <c r="S108">
        <f t="shared" si="68"/>
        <v>79.357051304257453</v>
      </c>
      <c r="T108">
        <v>12</v>
      </c>
      <c r="U108">
        <v>29.423300000000001</v>
      </c>
      <c r="V108">
        <v>32.313000000000002</v>
      </c>
      <c r="W108">
        <f t="shared" si="69"/>
        <v>2.8897000000000013</v>
      </c>
      <c r="X108">
        <f t="shared" si="70"/>
        <v>2889.7000000000012</v>
      </c>
      <c r="Y108">
        <v>29.970700000000001</v>
      </c>
      <c r="Z108">
        <f t="shared" si="71"/>
        <v>0.54739999999999966</v>
      </c>
      <c r="AA108">
        <f t="shared" si="37"/>
        <v>547.39999999999964</v>
      </c>
      <c r="AB108">
        <f t="shared" si="72"/>
        <v>2342.3000000000015</v>
      </c>
      <c r="AC108">
        <v>0.21221322224515593</v>
      </c>
      <c r="AD108">
        <f t="shared" si="52"/>
        <v>81.056857113195164</v>
      </c>
      <c r="AE108">
        <f t="shared" si="51"/>
        <v>36.528595701975995</v>
      </c>
      <c r="AF108">
        <f t="shared" si="61"/>
        <v>7.7518509980068803E-2</v>
      </c>
      <c r="AG108">
        <f t="shared" si="62"/>
        <v>1.93796274950172</v>
      </c>
      <c r="AH108" t="s">
        <v>39</v>
      </c>
      <c r="AI108">
        <v>15</v>
      </c>
      <c r="AJ108">
        <f t="shared" ref="AJ108" si="74">AF108-AF109</f>
        <v>7.7518509980068803E-2</v>
      </c>
    </row>
    <row r="109" spans="1:37" x14ac:dyDescent="0.2">
      <c r="A109" t="s">
        <v>55</v>
      </c>
      <c r="B109">
        <v>2025</v>
      </c>
      <c r="C109">
        <f t="shared" si="65"/>
        <v>0</v>
      </c>
      <c r="D109">
        <v>1</v>
      </c>
      <c r="E109">
        <v>3</v>
      </c>
      <c r="F109" t="s">
        <v>40</v>
      </c>
      <c r="G109">
        <v>10</v>
      </c>
      <c r="H109">
        <v>10</v>
      </c>
      <c r="I109">
        <f t="shared" si="66"/>
        <v>1</v>
      </c>
      <c r="J109">
        <v>4</v>
      </c>
      <c r="L109">
        <v>9</v>
      </c>
      <c r="M109">
        <v>1.8320000000000001</v>
      </c>
      <c r="N109">
        <v>32.436999999999998</v>
      </c>
      <c r="O109">
        <f t="shared" si="35"/>
        <v>30.604999999999997</v>
      </c>
      <c r="P109">
        <v>6.7889999999999997</v>
      </c>
      <c r="Q109">
        <f t="shared" si="36"/>
        <v>4.9569999999999999</v>
      </c>
      <c r="R109">
        <f t="shared" si="67"/>
        <v>25.647999999999996</v>
      </c>
      <c r="S109">
        <f t="shared" si="68"/>
        <v>83.803300114360397</v>
      </c>
      <c r="AH109" t="s">
        <v>40</v>
      </c>
      <c r="AI109">
        <v>10</v>
      </c>
      <c r="AK109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5130-DB2D-AA46-88E2-1DC3BD07328E}">
  <dimension ref="A1:AK109"/>
  <sheetViews>
    <sheetView topLeftCell="A85" zoomScale="131" workbookViewId="0">
      <pane xSplit="6" topLeftCell="Z1" activePane="topRight" state="frozen"/>
      <selection pane="topRight" activeCell="AE103" sqref="AE103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61</v>
      </c>
      <c r="AF1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2018</v>
      </c>
      <c r="C2">
        <f t="shared" ref="C2:C28" si="0">2025-B2</f>
        <v>7</v>
      </c>
      <c r="D2">
        <v>1</v>
      </c>
      <c r="E2">
        <v>1</v>
      </c>
      <c r="F2" t="s">
        <v>38</v>
      </c>
      <c r="L2" s="1"/>
      <c r="AG2" s="6"/>
      <c r="AH2" s="6"/>
      <c r="AI2" s="6"/>
      <c r="AJ2" s="6"/>
    </row>
    <row r="3" spans="1:37" x14ac:dyDescent="0.2">
      <c r="A3" t="s">
        <v>37</v>
      </c>
      <c r="B3">
        <v>2018</v>
      </c>
      <c r="C3">
        <f t="shared" si="0"/>
        <v>7</v>
      </c>
      <c r="D3">
        <v>1</v>
      </c>
      <c r="E3">
        <v>1</v>
      </c>
      <c r="F3" t="s">
        <v>39</v>
      </c>
      <c r="G3">
        <v>100</v>
      </c>
      <c r="H3">
        <v>27</v>
      </c>
      <c r="I3">
        <f>H3/G3</f>
        <v>0.27</v>
      </c>
      <c r="K3">
        <v>30</v>
      </c>
      <c r="L3" s="1">
        <v>10</v>
      </c>
      <c r="M3">
        <v>5.14</v>
      </c>
      <c r="N3">
        <v>48.21</v>
      </c>
      <c r="O3">
        <f>N3-M3</f>
        <v>43.07</v>
      </c>
      <c r="P3">
        <v>31.73</v>
      </c>
      <c r="Q3">
        <f>P3-M3</f>
        <v>26.59</v>
      </c>
      <c r="R3">
        <f>O3-Q3</f>
        <v>16.48</v>
      </c>
      <c r="S3">
        <f>((O3-Q3)/O3)*100</f>
        <v>38.263292314836313</v>
      </c>
      <c r="T3">
        <v>10</v>
      </c>
      <c r="U3">
        <v>28.59</v>
      </c>
      <c r="V3">
        <v>31.501000000000001</v>
      </c>
      <c r="W3">
        <f>V3-U3</f>
        <v>2.9110000000000014</v>
      </c>
      <c r="X3">
        <f>W3*1000</f>
        <v>2911.0000000000014</v>
      </c>
      <c r="Y3">
        <v>31.300999999999998</v>
      </c>
      <c r="Z3">
        <f>Y3-U3</f>
        <v>2.7109999999999985</v>
      </c>
      <c r="AA3">
        <f>Z3*1000</f>
        <v>2710.9999999999986</v>
      </c>
      <c r="AB3">
        <f>X3-AA3</f>
        <v>200.00000000000273</v>
      </c>
      <c r="AC3">
        <v>0.70440106584149909</v>
      </c>
      <c r="AD3">
        <f>((X3-AA3)/X3)*100</f>
        <v>6.8704912401237594</v>
      </c>
      <c r="AE3">
        <f>0.58*AD3</f>
        <v>3.9848849192717801</v>
      </c>
      <c r="AF3">
        <f>AC3*(AE3/100)</f>
        <v>2.8069571843907577E-2</v>
      </c>
      <c r="AG3" s="6">
        <f>AF3*AH3</f>
        <v>0.93471674240212221</v>
      </c>
      <c r="AH3" s="6">
        <v>33.299999999999997</v>
      </c>
      <c r="AI3" s="6">
        <f>AG3</f>
        <v>0.93471674240212221</v>
      </c>
      <c r="AJ3" s="6">
        <f>AI3/AH3</f>
        <v>2.8069571843907577E-2</v>
      </c>
    </row>
    <row r="4" spans="1:37" x14ac:dyDescent="0.2">
      <c r="A4" t="s">
        <v>37</v>
      </c>
      <c r="B4">
        <v>2018</v>
      </c>
      <c r="C4">
        <f t="shared" si="0"/>
        <v>7</v>
      </c>
      <c r="D4">
        <v>1</v>
      </c>
      <c r="E4">
        <v>1</v>
      </c>
      <c r="F4" t="s">
        <v>40</v>
      </c>
      <c r="G4">
        <v>100</v>
      </c>
      <c r="H4">
        <v>27</v>
      </c>
      <c r="I4">
        <f>H4/G4</f>
        <v>0.27</v>
      </c>
      <c r="K4">
        <v>30</v>
      </c>
      <c r="L4" s="1">
        <v>15</v>
      </c>
      <c r="M4">
        <v>5.13</v>
      </c>
      <c r="N4">
        <v>41</v>
      </c>
      <c r="O4">
        <f>N4-M4</f>
        <v>35.869999999999997</v>
      </c>
      <c r="P4">
        <v>23.25</v>
      </c>
      <c r="Q4">
        <f>P4-M4</f>
        <v>18.12</v>
      </c>
      <c r="R4">
        <f>O4-Q4</f>
        <v>17.749999999999996</v>
      </c>
      <c r="S4">
        <f>((O4-Q4)/O4)*100</f>
        <v>49.484248675773621</v>
      </c>
      <c r="T4">
        <v>15</v>
      </c>
      <c r="U4">
        <v>27.856000000000002</v>
      </c>
      <c r="V4">
        <v>30.731000000000002</v>
      </c>
      <c r="W4">
        <f>V4-U4</f>
        <v>2.875</v>
      </c>
      <c r="X4">
        <f>W4*1000</f>
        <v>2875</v>
      </c>
      <c r="Y4">
        <v>30.305</v>
      </c>
      <c r="Z4">
        <f>Y4-U4</f>
        <v>2.4489999999999981</v>
      </c>
      <c r="AA4">
        <f>Z4*1000</f>
        <v>2448.9999999999982</v>
      </c>
      <c r="AB4">
        <f>X4-AA4</f>
        <v>426.00000000000182</v>
      </c>
      <c r="AC4">
        <v>0.78573459370935805</v>
      </c>
      <c r="AD4">
        <f>((X4-AA4)/X4)*100</f>
        <v>14.81739130434789</v>
      </c>
      <c r="AE4">
        <f>0.58*AD4</f>
        <v>8.5940869565217763</v>
      </c>
      <c r="AF4">
        <f>AC4*(AE4/100)</f>
        <v>6.7526714230855309E-2</v>
      </c>
      <c r="AG4" s="6">
        <f t="shared" ref="AG4:AG28" si="1">AF4*AH4</f>
        <v>2.2486395838874818</v>
      </c>
      <c r="AH4" s="6">
        <v>33.299999999999997</v>
      </c>
      <c r="AI4" s="6">
        <f t="shared" ref="AI4:AI28" si="2">AG4</f>
        <v>2.2486395838874818</v>
      </c>
      <c r="AJ4" s="6">
        <f t="shared" ref="AJ4:AJ18" si="3">AI4/AH4</f>
        <v>6.7526714230855309E-2</v>
      </c>
    </row>
    <row r="5" spans="1:37" x14ac:dyDescent="0.2">
      <c r="A5" t="s">
        <v>37</v>
      </c>
      <c r="B5">
        <v>2018</v>
      </c>
      <c r="C5">
        <f t="shared" si="0"/>
        <v>7</v>
      </c>
      <c r="D5">
        <v>1</v>
      </c>
      <c r="E5">
        <v>2</v>
      </c>
      <c r="F5" s="3" t="s">
        <v>41</v>
      </c>
      <c r="G5" s="3">
        <v>100</v>
      </c>
      <c r="H5" s="3">
        <v>30</v>
      </c>
      <c r="I5" s="3">
        <f>H5/G5</f>
        <v>0.3</v>
      </c>
      <c r="J5" s="3"/>
      <c r="K5">
        <v>30</v>
      </c>
      <c r="L5" s="1">
        <v>26</v>
      </c>
      <c r="M5">
        <v>4.99</v>
      </c>
      <c r="N5">
        <v>41.91</v>
      </c>
      <c r="O5">
        <f>N5-M5</f>
        <v>36.919999999999995</v>
      </c>
      <c r="P5">
        <v>22.33</v>
      </c>
      <c r="Q5">
        <f>P5-M5</f>
        <v>17.339999999999996</v>
      </c>
      <c r="R5">
        <f>O5-Q5</f>
        <v>19.579999999999998</v>
      </c>
      <c r="S5">
        <f>((O5-Q5)/O5)*100</f>
        <v>53.033586132177682</v>
      </c>
      <c r="T5">
        <v>26</v>
      </c>
      <c r="U5">
        <v>29.137</v>
      </c>
      <c r="V5">
        <v>32.795999999999999</v>
      </c>
      <c r="W5">
        <f>V5-U5</f>
        <v>3.6589999999999989</v>
      </c>
      <c r="X5">
        <f>W5*1000</f>
        <v>3658.9999999999991</v>
      </c>
      <c r="Y5">
        <v>32.319000000000003</v>
      </c>
      <c r="Z5">
        <f>Y5-U5</f>
        <v>3.1820000000000022</v>
      </c>
      <c r="AA5">
        <f>Z5*1000</f>
        <v>3182.0000000000023</v>
      </c>
      <c r="AB5">
        <f>X5-AA5</f>
        <v>476.99999999999682</v>
      </c>
      <c r="AC5">
        <v>0.9189406814809622</v>
      </c>
      <c r="AD5">
        <f>((X5-AA5)/X5)*100</f>
        <v>13.03634872916089</v>
      </c>
      <c r="AE5">
        <f t="shared" ref="AE5:AE68" si="4">0.58*AD5</f>
        <v>7.5610822629133159</v>
      </c>
      <c r="AF5">
        <f>AC5*(AE5/100)</f>
        <v>6.9481860874151785E-2</v>
      </c>
      <c r="AG5" s="6">
        <f t="shared" si="1"/>
        <v>2.3137459671092544</v>
      </c>
      <c r="AH5" s="6">
        <v>33.299999999999997</v>
      </c>
      <c r="AI5" s="6">
        <f t="shared" si="2"/>
        <v>2.3137459671092544</v>
      </c>
      <c r="AJ5" s="6">
        <f t="shared" si="3"/>
        <v>6.9481860874151785E-2</v>
      </c>
    </row>
    <row r="6" spans="1:37" x14ac:dyDescent="0.2">
      <c r="A6" t="s">
        <v>37</v>
      </c>
      <c r="B6">
        <v>2018</v>
      </c>
      <c r="C6">
        <f t="shared" si="0"/>
        <v>7</v>
      </c>
      <c r="D6">
        <v>1</v>
      </c>
      <c r="E6">
        <v>2</v>
      </c>
      <c r="F6" t="s">
        <v>39</v>
      </c>
      <c r="L6" s="1"/>
      <c r="AG6" s="6"/>
      <c r="AH6" s="6"/>
      <c r="AI6" s="6"/>
      <c r="AJ6" s="6"/>
    </row>
    <row r="7" spans="1:37" x14ac:dyDescent="0.2">
      <c r="A7" t="s">
        <v>37</v>
      </c>
      <c r="B7">
        <v>2018</v>
      </c>
      <c r="C7">
        <f t="shared" si="0"/>
        <v>7</v>
      </c>
      <c r="D7">
        <v>1</v>
      </c>
      <c r="E7">
        <v>2</v>
      </c>
      <c r="F7" t="s">
        <v>40</v>
      </c>
      <c r="G7">
        <v>100</v>
      </c>
      <c r="H7">
        <v>27</v>
      </c>
      <c r="I7">
        <v>0.27</v>
      </c>
      <c r="K7">
        <v>55.4</v>
      </c>
      <c r="L7" s="1">
        <v>28</v>
      </c>
      <c r="M7">
        <v>4.96</v>
      </c>
      <c r="N7">
        <v>69.8</v>
      </c>
      <c r="O7">
        <f t="shared" ref="O7:O20" si="5">N7-M7</f>
        <v>64.84</v>
      </c>
      <c r="P7">
        <v>44.27</v>
      </c>
      <c r="Q7">
        <f t="shared" ref="Q7:Q20" si="6">P7-M7</f>
        <v>39.31</v>
      </c>
      <c r="R7">
        <f t="shared" ref="R7:R20" si="7">O7-Q7</f>
        <v>25.53</v>
      </c>
      <c r="S7">
        <f t="shared" ref="S7:S20" si="8">((O7-Q7)/O7)*100</f>
        <v>39.373843306600861</v>
      </c>
      <c r="T7">
        <v>28</v>
      </c>
      <c r="U7">
        <v>28.417999999999999</v>
      </c>
      <c r="V7">
        <v>32.786999999999999</v>
      </c>
      <c r="W7">
        <f t="shared" ref="W7:W20" si="9">V7-U7</f>
        <v>4.3689999999999998</v>
      </c>
      <c r="X7">
        <f t="shared" ref="X7:X20" si="10">W7*1000</f>
        <v>4369</v>
      </c>
      <c r="Y7">
        <v>32.396999999999998</v>
      </c>
      <c r="Z7">
        <f t="shared" ref="Z7:Z20" si="11">Y7-U7</f>
        <v>3.9789999999999992</v>
      </c>
      <c r="AA7">
        <f t="shared" ref="AA7:AA20" si="12">Z7*1000</f>
        <v>3978.9999999999991</v>
      </c>
      <c r="AB7">
        <f t="shared" ref="AB7:AB20" si="13">X7-AA7</f>
        <v>390.00000000000091</v>
      </c>
      <c r="AC7">
        <v>0.78573459370935805</v>
      </c>
      <c r="AD7">
        <f>((X7-AA7)/X7)*100</f>
        <v>8.9265278095674283</v>
      </c>
      <c r="AE7">
        <f t="shared" si="4"/>
        <v>5.1773861295491077</v>
      </c>
      <c r="AF7">
        <f>AC7*(AE7/100)</f>
        <v>4.0680513869777342E-2</v>
      </c>
      <c r="AG7" s="6">
        <f t="shared" si="1"/>
        <v>1.3546611118635854</v>
      </c>
      <c r="AH7" s="6">
        <v>33.299999999999997</v>
      </c>
      <c r="AI7" s="6">
        <f t="shared" si="2"/>
        <v>1.3546611118635854</v>
      </c>
      <c r="AJ7" s="6">
        <f t="shared" si="3"/>
        <v>4.0680513869777342E-2</v>
      </c>
      <c r="AK7" t="s">
        <v>42</v>
      </c>
    </row>
    <row r="8" spans="1:37" x14ac:dyDescent="0.2">
      <c r="A8" t="s">
        <v>37</v>
      </c>
      <c r="B8">
        <v>2018</v>
      </c>
      <c r="C8">
        <f t="shared" si="0"/>
        <v>7</v>
      </c>
      <c r="D8">
        <v>1</v>
      </c>
      <c r="E8">
        <v>3</v>
      </c>
      <c r="F8" s="3" t="s">
        <v>41</v>
      </c>
      <c r="G8">
        <v>100</v>
      </c>
      <c r="H8">
        <v>27</v>
      </c>
      <c r="I8">
        <v>0.27</v>
      </c>
      <c r="K8">
        <v>72.099999999999994</v>
      </c>
      <c r="L8" s="1">
        <v>30</v>
      </c>
      <c r="M8">
        <v>5.03</v>
      </c>
      <c r="N8">
        <v>106.82</v>
      </c>
      <c r="O8">
        <f t="shared" si="5"/>
        <v>101.78999999999999</v>
      </c>
      <c r="P8">
        <v>47.38</v>
      </c>
      <c r="Q8">
        <f t="shared" si="6"/>
        <v>42.35</v>
      </c>
      <c r="R8">
        <f t="shared" si="7"/>
        <v>59.439999999999991</v>
      </c>
      <c r="S8">
        <f t="shared" si="8"/>
        <v>58.394734256803218</v>
      </c>
      <c r="T8">
        <v>30</v>
      </c>
      <c r="U8">
        <v>29.242000000000001</v>
      </c>
      <c r="V8">
        <v>32.277000000000001</v>
      </c>
      <c r="W8">
        <f t="shared" si="9"/>
        <v>3.0350000000000001</v>
      </c>
      <c r="X8">
        <f t="shared" si="10"/>
        <v>3035</v>
      </c>
      <c r="Y8">
        <v>31.776</v>
      </c>
      <c r="Z8">
        <f t="shared" si="11"/>
        <v>2.5339999999999989</v>
      </c>
      <c r="AA8">
        <f t="shared" si="12"/>
        <v>2533.9999999999991</v>
      </c>
      <c r="AB8">
        <f t="shared" si="13"/>
        <v>501.00000000000091</v>
      </c>
      <c r="AC8">
        <v>0.9189406814809622</v>
      </c>
      <c r="AD8">
        <f>((X8-AA8)/X8)*100</f>
        <v>16.507413509060985</v>
      </c>
      <c r="AE8">
        <f t="shared" si="4"/>
        <v>9.5742998352553705</v>
      </c>
      <c r="AF8">
        <f>AC8*(AE8/100)</f>
        <v>8.7982136153126347E-2</v>
      </c>
      <c r="AG8" s="6">
        <f t="shared" si="1"/>
        <v>2.9298051338991069</v>
      </c>
      <c r="AH8" s="6">
        <v>33.299999999999997</v>
      </c>
      <c r="AI8" s="6">
        <f t="shared" si="2"/>
        <v>2.9298051338991069</v>
      </c>
      <c r="AJ8" s="6">
        <f t="shared" si="3"/>
        <v>8.7982136153126347E-2</v>
      </c>
    </row>
    <row r="9" spans="1:37" x14ac:dyDescent="0.2">
      <c r="A9" t="s">
        <v>37</v>
      </c>
      <c r="B9">
        <v>2018</v>
      </c>
      <c r="C9">
        <f t="shared" si="0"/>
        <v>7</v>
      </c>
      <c r="D9">
        <v>1</v>
      </c>
      <c r="E9">
        <v>3</v>
      </c>
      <c r="F9" t="s">
        <v>39</v>
      </c>
      <c r="G9">
        <v>100</v>
      </c>
      <c r="H9">
        <v>27</v>
      </c>
      <c r="I9">
        <v>0.27</v>
      </c>
      <c r="K9">
        <v>30</v>
      </c>
      <c r="L9" s="1">
        <v>27</v>
      </c>
      <c r="M9">
        <v>5</v>
      </c>
      <c r="N9">
        <v>36.07</v>
      </c>
      <c r="O9">
        <f t="shared" si="5"/>
        <v>31.07</v>
      </c>
      <c r="P9">
        <v>18.2</v>
      </c>
      <c r="Q9">
        <f t="shared" si="6"/>
        <v>13.2</v>
      </c>
      <c r="R9">
        <f t="shared" si="7"/>
        <v>17.87</v>
      </c>
      <c r="S9">
        <f t="shared" si="8"/>
        <v>57.515288059221113</v>
      </c>
      <c r="T9">
        <v>27</v>
      </c>
      <c r="U9">
        <v>29.591000000000001</v>
      </c>
      <c r="V9">
        <v>33.566000000000003</v>
      </c>
      <c r="W9">
        <f t="shared" si="9"/>
        <v>3.9750000000000014</v>
      </c>
      <c r="X9">
        <f t="shared" si="10"/>
        <v>3975.0000000000014</v>
      </c>
      <c r="Y9">
        <v>32.86</v>
      </c>
      <c r="Z9">
        <f t="shared" si="11"/>
        <v>3.2689999999999984</v>
      </c>
      <c r="AA9">
        <f t="shared" si="12"/>
        <v>3268.9999999999982</v>
      </c>
      <c r="AB9">
        <f t="shared" si="13"/>
        <v>706.00000000000318</v>
      </c>
      <c r="AC9">
        <v>0.70440106584149909</v>
      </c>
      <c r="AD9">
        <f>((X9-AA9)/X9)*100</f>
        <v>17.761006289308252</v>
      </c>
      <c r="AE9">
        <f t="shared" si="4"/>
        <v>10.301383647798785</v>
      </c>
      <c r="AF9">
        <f>AC9*(AE9/100)</f>
        <v>7.2563056211516527E-2</v>
      </c>
      <c r="AG9" s="6">
        <f t="shared" si="1"/>
        <v>2.4163497718435001</v>
      </c>
      <c r="AH9" s="6">
        <v>33.299999999999997</v>
      </c>
      <c r="AI9" s="6">
        <f t="shared" si="2"/>
        <v>2.4163497718435001</v>
      </c>
      <c r="AJ9" s="6">
        <f t="shared" si="3"/>
        <v>7.2563056211516527E-2</v>
      </c>
    </row>
    <row r="10" spans="1:37" x14ac:dyDescent="0.2">
      <c r="A10" t="s">
        <v>37</v>
      </c>
      <c r="B10">
        <v>2018</v>
      </c>
      <c r="C10">
        <f t="shared" si="0"/>
        <v>7</v>
      </c>
      <c r="D10">
        <v>1</v>
      </c>
      <c r="E10">
        <v>3</v>
      </c>
      <c r="F10" t="s">
        <v>40</v>
      </c>
      <c r="G10" s="3">
        <v>100</v>
      </c>
      <c r="H10" s="3">
        <v>30</v>
      </c>
      <c r="I10" s="3">
        <f t="shared" ref="I10:I20" si="14">H10/G10</f>
        <v>0.3</v>
      </c>
      <c r="J10" s="3"/>
      <c r="K10">
        <v>72.099999999999994</v>
      </c>
      <c r="L10" s="1">
        <v>24</v>
      </c>
      <c r="M10">
        <v>5.04</v>
      </c>
      <c r="N10">
        <v>109.07</v>
      </c>
      <c r="O10">
        <f t="shared" si="5"/>
        <v>104.02999999999999</v>
      </c>
      <c r="P10">
        <v>41.13</v>
      </c>
      <c r="Q10">
        <f t="shared" si="6"/>
        <v>36.090000000000003</v>
      </c>
      <c r="R10">
        <f t="shared" si="7"/>
        <v>67.939999999999984</v>
      </c>
      <c r="S10">
        <f t="shared" si="8"/>
        <v>65.308084206478895</v>
      </c>
      <c r="T10">
        <v>24</v>
      </c>
      <c r="U10">
        <v>29.565999999999999</v>
      </c>
      <c r="V10">
        <v>32.936999999999998</v>
      </c>
      <c r="W10">
        <f t="shared" si="9"/>
        <v>3.3709999999999987</v>
      </c>
      <c r="X10">
        <f t="shared" si="10"/>
        <v>3370.9999999999986</v>
      </c>
      <c r="Y10">
        <v>32.131</v>
      </c>
      <c r="Z10">
        <f t="shared" si="11"/>
        <v>2.5650000000000013</v>
      </c>
      <c r="AA10">
        <f t="shared" si="12"/>
        <v>2565.0000000000014</v>
      </c>
      <c r="AB10">
        <f t="shared" si="13"/>
        <v>805.99999999999727</v>
      </c>
      <c r="AC10">
        <v>0.78573459370935805</v>
      </c>
      <c r="AD10">
        <f>((X10-AA10)/X10)*100</f>
        <v>23.90981904479376</v>
      </c>
      <c r="AE10">
        <f t="shared" si="4"/>
        <v>13.86769504598038</v>
      </c>
      <c r="AF10">
        <f>AC10*(AE10/100)</f>
        <v>0.10896327732638671</v>
      </c>
      <c r="AG10" s="6">
        <f t="shared" si="1"/>
        <v>3.6284771349686769</v>
      </c>
      <c r="AH10" s="6">
        <v>33.299999999999997</v>
      </c>
      <c r="AI10" s="6">
        <f t="shared" si="2"/>
        <v>3.6284771349686769</v>
      </c>
      <c r="AJ10" s="6">
        <f t="shared" si="3"/>
        <v>0.10896327732638671</v>
      </c>
    </row>
    <row r="11" spans="1:37" x14ac:dyDescent="0.2">
      <c r="A11" t="s">
        <v>37</v>
      </c>
      <c r="B11">
        <v>2016</v>
      </c>
      <c r="C11">
        <f t="shared" si="0"/>
        <v>9</v>
      </c>
      <c r="D11">
        <v>2</v>
      </c>
      <c r="E11">
        <v>1</v>
      </c>
      <c r="F11" s="3" t="s">
        <v>41</v>
      </c>
      <c r="G11" s="3">
        <v>100</v>
      </c>
      <c r="H11" s="3">
        <v>30</v>
      </c>
      <c r="I11" s="3">
        <f t="shared" si="14"/>
        <v>0.3</v>
      </c>
      <c r="J11" s="3"/>
      <c r="K11">
        <v>30</v>
      </c>
      <c r="L11" s="1">
        <v>17</v>
      </c>
      <c r="M11">
        <v>5.1100000000000003</v>
      </c>
      <c r="N11">
        <v>42.72</v>
      </c>
      <c r="O11">
        <f t="shared" si="5"/>
        <v>37.61</v>
      </c>
      <c r="P11">
        <v>31.37</v>
      </c>
      <c r="Q11">
        <f t="shared" si="6"/>
        <v>26.26</v>
      </c>
      <c r="R11">
        <f t="shared" si="7"/>
        <v>11.349999999999998</v>
      </c>
      <c r="S11">
        <f t="shared" si="8"/>
        <v>30.178144110608873</v>
      </c>
      <c r="T11">
        <v>4</v>
      </c>
      <c r="U11">
        <v>27.8</v>
      </c>
      <c r="V11">
        <v>31.904</v>
      </c>
      <c r="W11">
        <f t="shared" si="9"/>
        <v>4.1039999999999992</v>
      </c>
      <c r="X11">
        <f t="shared" si="10"/>
        <v>4103.9999999999991</v>
      </c>
      <c r="Y11">
        <v>31.706</v>
      </c>
      <c r="Z11">
        <f t="shared" si="11"/>
        <v>3.9059999999999988</v>
      </c>
      <c r="AA11">
        <f t="shared" si="12"/>
        <v>3905.9999999999986</v>
      </c>
      <c r="AB11">
        <f t="shared" si="13"/>
        <v>198.00000000000045</v>
      </c>
      <c r="AC11">
        <v>0.9189406814809622</v>
      </c>
      <c r="AD11">
        <f>((X11-AA11)/X11)*100</f>
        <v>4.8245614035087838</v>
      </c>
      <c r="AE11">
        <f t="shared" si="4"/>
        <v>2.7982456140350944</v>
      </c>
      <c r="AF11">
        <f>AC11*(AE11/100)</f>
        <v>2.5714217315125232E-2</v>
      </c>
      <c r="AG11" s="6">
        <f t="shared" si="1"/>
        <v>0.85628343659367012</v>
      </c>
      <c r="AH11" s="6">
        <v>33.299999999999997</v>
      </c>
      <c r="AI11" s="6">
        <f t="shared" si="2"/>
        <v>0.85628343659367012</v>
      </c>
      <c r="AJ11" s="6">
        <f t="shared" si="3"/>
        <v>2.5714217315125232E-2</v>
      </c>
    </row>
    <row r="12" spans="1:37" x14ac:dyDescent="0.2">
      <c r="A12" t="s">
        <v>37</v>
      </c>
      <c r="B12">
        <v>2016</v>
      </c>
      <c r="C12">
        <f t="shared" si="0"/>
        <v>9</v>
      </c>
      <c r="D12">
        <v>2</v>
      </c>
      <c r="E12">
        <v>1</v>
      </c>
      <c r="F12" t="s">
        <v>39</v>
      </c>
      <c r="L12" s="1"/>
      <c r="AG12" s="6"/>
      <c r="AH12" s="6"/>
      <c r="AI12" s="6"/>
      <c r="AJ12" s="6"/>
    </row>
    <row r="13" spans="1:37" x14ac:dyDescent="0.2">
      <c r="A13" t="s">
        <v>37</v>
      </c>
      <c r="B13">
        <v>2016</v>
      </c>
      <c r="C13">
        <f t="shared" si="0"/>
        <v>9</v>
      </c>
      <c r="D13">
        <v>2</v>
      </c>
      <c r="E13">
        <v>1</v>
      </c>
      <c r="F13" t="s">
        <v>40</v>
      </c>
      <c r="G13" s="3">
        <v>100</v>
      </c>
      <c r="H13" s="3">
        <v>30</v>
      </c>
      <c r="I13" s="3">
        <f t="shared" si="14"/>
        <v>0.3</v>
      </c>
      <c r="J13" s="3"/>
      <c r="K13">
        <v>30</v>
      </c>
      <c r="L13" s="1">
        <v>18</v>
      </c>
      <c r="M13">
        <v>5.07</v>
      </c>
      <c r="N13">
        <v>46.72</v>
      </c>
      <c r="O13">
        <f t="shared" si="5"/>
        <v>41.65</v>
      </c>
      <c r="P13">
        <v>33.200000000000003</v>
      </c>
      <c r="Q13">
        <f t="shared" si="6"/>
        <v>28.130000000000003</v>
      </c>
      <c r="R13">
        <f t="shared" si="7"/>
        <v>13.519999999999996</v>
      </c>
      <c r="S13">
        <f t="shared" si="8"/>
        <v>32.460984393757499</v>
      </c>
      <c r="T13">
        <v>6</v>
      </c>
      <c r="U13">
        <v>30.184000000000001</v>
      </c>
      <c r="V13">
        <v>33.36</v>
      </c>
      <c r="W13">
        <f t="shared" si="9"/>
        <v>3.1759999999999984</v>
      </c>
      <c r="X13">
        <f t="shared" si="10"/>
        <v>3175.9999999999982</v>
      </c>
      <c r="Y13">
        <v>33.176000000000002</v>
      </c>
      <c r="Z13">
        <f t="shared" si="11"/>
        <v>2.9920000000000009</v>
      </c>
      <c r="AA13">
        <f t="shared" si="12"/>
        <v>2992.0000000000009</v>
      </c>
      <c r="AB13">
        <f t="shared" si="13"/>
        <v>183.99999999999727</v>
      </c>
      <c r="AC13">
        <v>0.78573459370935805</v>
      </c>
      <c r="AD13">
        <f t="shared" ref="AD13:AD20" si="15">((X13-AA13)/X13)*100</f>
        <v>5.7934508816120083</v>
      </c>
      <c r="AE13">
        <f t="shared" si="4"/>
        <v>3.3602015113349646</v>
      </c>
      <c r="AF13">
        <f t="shared" ref="AF13:AF20" si="16">AC13*(AE13/100)</f>
        <v>2.6402265692903496E-2</v>
      </c>
      <c r="AG13" s="6">
        <f t="shared" si="1"/>
        <v>0.87919544757368639</v>
      </c>
      <c r="AH13" s="6">
        <v>33.299999999999997</v>
      </c>
      <c r="AI13" s="6">
        <f t="shared" si="2"/>
        <v>0.87919544757368639</v>
      </c>
      <c r="AJ13" s="6">
        <f t="shared" si="3"/>
        <v>2.6402265692903496E-2</v>
      </c>
    </row>
    <row r="14" spans="1:37" x14ac:dyDescent="0.2">
      <c r="A14" t="s">
        <v>37</v>
      </c>
      <c r="B14">
        <v>2016</v>
      </c>
      <c r="C14">
        <f t="shared" si="0"/>
        <v>9</v>
      </c>
      <c r="D14">
        <v>2</v>
      </c>
      <c r="E14">
        <v>2</v>
      </c>
      <c r="F14" s="3" t="s">
        <v>41</v>
      </c>
      <c r="G14">
        <v>50</v>
      </c>
      <c r="H14">
        <v>28</v>
      </c>
      <c r="I14">
        <f t="shared" si="14"/>
        <v>0.56000000000000005</v>
      </c>
      <c r="K14">
        <v>30</v>
      </c>
      <c r="L14" s="1">
        <v>25</v>
      </c>
      <c r="M14">
        <v>5.0199999999999996</v>
      </c>
      <c r="N14">
        <v>52.46</v>
      </c>
      <c r="O14">
        <f t="shared" si="5"/>
        <v>47.44</v>
      </c>
      <c r="P14">
        <v>39.409999999999997</v>
      </c>
      <c r="Q14">
        <f t="shared" si="6"/>
        <v>34.39</v>
      </c>
      <c r="R14">
        <f t="shared" si="7"/>
        <v>13.049999999999997</v>
      </c>
      <c r="S14">
        <f t="shared" si="8"/>
        <v>27.508431703204046</v>
      </c>
      <c r="T14">
        <v>25</v>
      </c>
      <c r="U14">
        <v>26.797999999999998</v>
      </c>
      <c r="V14">
        <v>30.773</v>
      </c>
      <c r="W14">
        <f t="shared" si="9"/>
        <v>3.9750000000000014</v>
      </c>
      <c r="X14">
        <f t="shared" si="10"/>
        <v>3975.0000000000014</v>
      </c>
      <c r="Y14">
        <v>30.59</v>
      </c>
      <c r="Z14">
        <f t="shared" si="11"/>
        <v>3.7920000000000016</v>
      </c>
      <c r="AA14">
        <f t="shared" si="12"/>
        <v>3792.0000000000018</v>
      </c>
      <c r="AB14">
        <f t="shared" si="13"/>
        <v>182.99999999999955</v>
      </c>
      <c r="AC14">
        <v>0.9189406814809622</v>
      </c>
      <c r="AD14">
        <f t="shared" si="15"/>
        <v>4.6037735849056478</v>
      </c>
      <c r="AE14">
        <f t="shared" si="4"/>
        <v>2.6701886792452756</v>
      </c>
      <c r="AF14">
        <f t="shared" si="16"/>
        <v>2.4537450045884042E-2</v>
      </c>
      <c r="AG14" s="6">
        <f t="shared" si="1"/>
        <v>0.81709708652793855</v>
      </c>
      <c r="AH14" s="6">
        <v>33.299999999999997</v>
      </c>
      <c r="AI14" s="6">
        <f t="shared" si="2"/>
        <v>0.81709708652793855</v>
      </c>
      <c r="AJ14" s="6">
        <f t="shared" si="3"/>
        <v>2.4537450045884042E-2</v>
      </c>
    </row>
    <row r="15" spans="1:37" x14ac:dyDescent="0.2">
      <c r="A15" t="s">
        <v>37</v>
      </c>
      <c r="B15">
        <v>2016</v>
      </c>
      <c r="C15">
        <f t="shared" si="0"/>
        <v>9</v>
      </c>
      <c r="D15">
        <v>2</v>
      </c>
      <c r="E15">
        <v>2</v>
      </c>
      <c r="F15" t="s">
        <v>39</v>
      </c>
      <c r="G15">
        <v>50</v>
      </c>
      <c r="H15">
        <v>28</v>
      </c>
      <c r="I15">
        <f t="shared" si="14"/>
        <v>0.56000000000000005</v>
      </c>
      <c r="K15">
        <v>55.4</v>
      </c>
      <c r="L15" s="1">
        <v>33</v>
      </c>
      <c r="M15">
        <v>4.99</v>
      </c>
      <c r="N15">
        <v>84.92</v>
      </c>
      <c r="O15">
        <f t="shared" si="5"/>
        <v>79.930000000000007</v>
      </c>
      <c r="P15">
        <v>36.33</v>
      </c>
      <c r="Q15">
        <f t="shared" si="6"/>
        <v>31.339999999999996</v>
      </c>
      <c r="R15">
        <f t="shared" si="7"/>
        <v>48.590000000000011</v>
      </c>
      <c r="S15">
        <f t="shared" si="8"/>
        <v>60.79069185537346</v>
      </c>
      <c r="T15">
        <v>33</v>
      </c>
      <c r="U15">
        <v>29.571999999999999</v>
      </c>
      <c r="V15">
        <v>32.755000000000003</v>
      </c>
      <c r="W15">
        <f t="shared" si="9"/>
        <v>3.1830000000000034</v>
      </c>
      <c r="X15">
        <f t="shared" si="10"/>
        <v>3183.0000000000032</v>
      </c>
      <c r="Y15">
        <v>32.076000000000001</v>
      </c>
      <c r="Z15">
        <f t="shared" si="11"/>
        <v>2.5040000000000013</v>
      </c>
      <c r="AA15">
        <f t="shared" si="12"/>
        <v>2504.0000000000014</v>
      </c>
      <c r="AB15">
        <f>X15-AA15</f>
        <v>679.00000000000182</v>
      </c>
      <c r="AC15">
        <v>0.70440106584149909</v>
      </c>
      <c r="AD15">
        <f t="shared" si="15"/>
        <v>21.332076657241632</v>
      </c>
      <c r="AE15">
        <f t="shared" si="4"/>
        <v>12.372604461200146</v>
      </c>
      <c r="AF15">
        <f t="shared" si="16"/>
        <v>8.7152757697046696E-2</v>
      </c>
      <c r="AG15" s="6">
        <f t="shared" si="1"/>
        <v>2.9021868313116546</v>
      </c>
      <c r="AH15" s="6">
        <v>33.299999999999997</v>
      </c>
      <c r="AI15" s="6">
        <f t="shared" si="2"/>
        <v>2.9021868313116546</v>
      </c>
      <c r="AJ15" s="6">
        <f t="shared" si="3"/>
        <v>8.7152757697046696E-2</v>
      </c>
    </row>
    <row r="16" spans="1:37" x14ac:dyDescent="0.2">
      <c r="A16" t="s">
        <v>37</v>
      </c>
      <c r="B16">
        <v>2016</v>
      </c>
      <c r="C16">
        <f t="shared" si="0"/>
        <v>9</v>
      </c>
      <c r="D16">
        <v>2</v>
      </c>
      <c r="E16">
        <v>2</v>
      </c>
      <c r="F16" t="s">
        <v>40</v>
      </c>
      <c r="G16">
        <v>50</v>
      </c>
      <c r="H16">
        <v>28</v>
      </c>
      <c r="I16">
        <f t="shared" si="14"/>
        <v>0.56000000000000005</v>
      </c>
      <c r="K16">
        <v>30</v>
      </c>
      <c r="L16" s="1">
        <v>23</v>
      </c>
      <c r="M16">
        <v>5.1100000000000003</v>
      </c>
      <c r="N16">
        <v>52.15</v>
      </c>
      <c r="O16">
        <f t="shared" si="5"/>
        <v>47.04</v>
      </c>
      <c r="P16">
        <v>35.83</v>
      </c>
      <c r="Q16">
        <f t="shared" si="6"/>
        <v>30.72</v>
      </c>
      <c r="R16">
        <f t="shared" si="7"/>
        <v>16.32</v>
      </c>
      <c r="S16">
        <f t="shared" si="8"/>
        <v>34.693877551020407</v>
      </c>
      <c r="T16">
        <v>23</v>
      </c>
      <c r="U16">
        <v>28.367999999999999</v>
      </c>
      <c r="V16">
        <v>32.122999999999998</v>
      </c>
      <c r="W16">
        <f t="shared" si="9"/>
        <v>3.754999999999999</v>
      </c>
      <c r="X16">
        <f t="shared" si="10"/>
        <v>3754.9999999999991</v>
      </c>
      <c r="Y16">
        <v>31.834</v>
      </c>
      <c r="Z16">
        <f t="shared" si="11"/>
        <v>3.4660000000000011</v>
      </c>
      <c r="AA16">
        <f t="shared" si="12"/>
        <v>3466.0000000000009</v>
      </c>
      <c r="AB16">
        <f t="shared" si="13"/>
        <v>288.99999999999818</v>
      </c>
      <c r="AC16">
        <v>0.78573459370935805</v>
      </c>
      <c r="AD16">
        <f t="shared" si="15"/>
        <v>7.6964047936084761</v>
      </c>
      <c r="AE16">
        <f t="shared" si="4"/>
        <v>4.4639147802929156</v>
      </c>
      <c r="AF16">
        <f t="shared" si="16"/>
        <v>3.5074522662466523E-2</v>
      </c>
      <c r="AG16" s="6">
        <f t="shared" si="1"/>
        <v>1.167981604660135</v>
      </c>
      <c r="AH16" s="6">
        <v>33.299999999999997</v>
      </c>
      <c r="AI16" s="6">
        <f t="shared" si="2"/>
        <v>1.167981604660135</v>
      </c>
      <c r="AJ16" s="6">
        <f t="shared" si="3"/>
        <v>3.5074522662466523E-2</v>
      </c>
    </row>
    <row r="17" spans="1:36" x14ac:dyDescent="0.2">
      <c r="A17" t="s">
        <v>37</v>
      </c>
      <c r="B17">
        <v>2016</v>
      </c>
      <c r="C17">
        <f t="shared" si="0"/>
        <v>9</v>
      </c>
      <c r="D17">
        <v>2</v>
      </c>
      <c r="E17">
        <v>3</v>
      </c>
      <c r="F17" t="s">
        <v>41</v>
      </c>
      <c r="G17">
        <v>100</v>
      </c>
      <c r="H17">
        <v>30</v>
      </c>
      <c r="I17">
        <f t="shared" si="14"/>
        <v>0.3</v>
      </c>
      <c r="K17">
        <v>30</v>
      </c>
      <c r="L17" s="1">
        <v>8</v>
      </c>
      <c r="M17">
        <v>5.17</v>
      </c>
      <c r="N17">
        <v>49.43</v>
      </c>
      <c r="O17">
        <f t="shared" si="5"/>
        <v>44.26</v>
      </c>
      <c r="P17">
        <v>38.299999999999997</v>
      </c>
      <c r="Q17">
        <f t="shared" si="6"/>
        <v>33.129999999999995</v>
      </c>
      <c r="R17">
        <f t="shared" si="7"/>
        <v>11.130000000000003</v>
      </c>
      <c r="S17">
        <f t="shared" si="8"/>
        <v>25.146859466787173</v>
      </c>
      <c r="T17">
        <v>8</v>
      </c>
      <c r="U17">
        <v>27.364000000000001</v>
      </c>
      <c r="V17">
        <v>30.826000000000001</v>
      </c>
      <c r="W17">
        <f t="shared" si="9"/>
        <v>3.4619999999999997</v>
      </c>
      <c r="X17">
        <f t="shared" si="10"/>
        <v>3461.9999999999995</v>
      </c>
      <c r="Y17">
        <v>30.695</v>
      </c>
      <c r="Z17">
        <f t="shared" si="11"/>
        <v>3.3309999999999995</v>
      </c>
      <c r="AA17">
        <f t="shared" si="12"/>
        <v>3330.9999999999995</v>
      </c>
      <c r="AB17">
        <f t="shared" si="13"/>
        <v>131</v>
      </c>
      <c r="AC17">
        <v>0.9189406814809622</v>
      </c>
      <c r="AD17">
        <f t="shared" si="15"/>
        <v>3.7839399191218952</v>
      </c>
      <c r="AE17">
        <f t="shared" si="4"/>
        <v>2.194685153090699</v>
      </c>
      <c r="AF17">
        <f t="shared" si="16"/>
        <v>2.0167854702173166E-2</v>
      </c>
      <c r="AG17" s="6">
        <f t="shared" si="1"/>
        <v>0.67158956158236638</v>
      </c>
      <c r="AH17" s="6">
        <v>33.299999999999997</v>
      </c>
      <c r="AI17" s="6">
        <f t="shared" si="2"/>
        <v>0.67158956158236638</v>
      </c>
      <c r="AJ17" s="6">
        <f t="shared" si="3"/>
        <v>2.0167854702173166E-2</v>
      </c>
    </row>
    <row r="18" spans="1:36" x14ac:dyDescent="0.2">
      <c r="A18" t="s">
        <v>37</v>
      </c>
      <c r="B18">
        <v>2016</v>
      </c>
      <c r="C18">
        <f t="shared" si="0"/>
        <v>9</v>
      </c>
      <c r="D18">
        <v>2</v>
      </c>
      <c r="E18">
        <v>3</v>
      </c>
      <c r="F18" t="s">
        <v>39</v>
      </c>
      <c r="G18">
        <v>100</v>
      </c>
      <c r="H18">
        <v>30</v>
      </c>
      <c r="I18">
        <f t="shared" si="14"/>
        <v>0.3</v>
      </c>
      <c r="K18">
        <v>30</v>
      </c>
      <c r="L18" s="1">
        <v>12</v>
      </c>
      <c r="M18">
        <v>5.13</v>
      </c>
      <c r="N18">
        <v>49.95</v>
      </c>
      <c r="O18">
        <f t="shared" si="5"/>
        <v>44.82</v>
      </c>
      <c r="P18">
        <v>37.15</v>
      </c>
      <c r="Q18">
        <f t="shared" si="6"/>
        <v>32.019999999999996</v>
      </c>
      <c r="R18">
        <f t="shared" si="7"/>
        <v>12.800000000000004</v>
      </c>
      <c r="S18">
        <f t="shared" si="8"/>
        <v>28.558679161088808</v>
      </c>
      <c r="T18">
        <v>12</v>
      </c>
      <c r="U18">
        <v>29.442</v>
      </c>
      <c r="V18">
        <v>33.572000000000003</v>
      </c>
      <c r="W18">
        <f t="shared" si="9"/>
        <v>4.1300000000000026</v>
      </c>
      <c r="X18">
        <f t="shared" si="10"/>
        <v>4130.0000000000027</v>
      </c>
      <c r="Y18">
        <v>33.392000000000003</v>
      </c>
      <c r="Z18">
        <f t="shared" si="11"/>
        <v>3.9500000000000028</v>
      </c>
      <c r="AA18">
        <f t="shared" si="12"/>
        <v>3950.0000000000027</v>
      </c>
      <c r="AB18">
        <f t="shared" si="13"/>
        <v>180</v>
      </c>
      <c r="AC18">
        <v>0.70440106584149909</v>
      </c>
      <c r="AD18">
        <f t="shared" si="15"/>
        <v>4.3583535108958804</v>
      </c>
      <c r="AE18">
        <f t="shared" si="4"/>
        <v>2.5278450363196105</v>
      </c>
      <c r="AF18">
        <f t="shared" si="16"/>
        <v>1.7806167378656767E-2</v>
      </c>
      <c r="AG18" s="6">
        <f t="shared" si="1"/>
        <v>0.59294537370927025</v>
      </c>
      <c r="AH18" s="6">
        <v>33.299999999999997</v>
      </c>
      <c r="AI18" s="6">
        <f t="shared" si="2"/>
        <v>0.59294537370927025</v>
      </c>
      <c r="AJ18" s="6">
        <f t="shared" si="3"/>
        <v>1.7806167378656767E-2</v>
      </c>
    </row>
    <row r="19" spans="1:36" x14ac:dyDescent="0.2">
      <c r="A19" t="s">
        <v>37</v>
      </c>
      <c r="B19">
        <v>2016</v>
      </c>
      <c r="C19">
        <f t="shared" si="0"/>
        <v>9</v>
      </c>
      <c r="D19">
        <v>2</v>
      </c>
      <c r="E19">
        <v>3</v>
      </c>
      <c r="F19" t="s">
        <v>40</v>
      </c>
      <c r="G19">
        <v>100</v>
      </c>
      <c r="H19">
        <v>30</v>
      </c>
      <c r="I19">
        <f t="shared" si="14"/>
        <v>0.3</v>
      </c>
      <c r="K19">
        <v>30</v>
      </c>
      <c r="L19" s="1">
        <v>11</v>
      </c>
      <c r="M19">
        <v>5.14</v>
      </c>
      <c r="N19">
        <v>41.1</v>
      </c>
      <c r="O19">
        <f t="shared" si="5"/>
        <v>35.96</v>
      </c>
      <c r="P19">
        <v>23.24</v>
      </c>
      <c r="Q19">
        <f t="shared" si="6"/>
        <v>18.099999999999998</v>
      </c>
      <c r="R19">
        <f t="shared" si="7"/>
        <v>17.860000000000003</v>
      </c>
      <c r="S19">
        <f t="shared" si="8"/>
        <v>49.666295884315915</v>
      </c>
      <c r="T19">
        <v>11</v>
      </c>
      <c r="U19">
        <v>27.460999999999999</v>
      </c>
      <c r="V19">
        <v>31.6</v>
      </c>
      <c r="W19">
        <f t="shared" si="9"/>
        <v>4.1390000000000029</v>
      </c>
      <c r="X19">
        <f t="shared" si="10"/>
        <v>4139.0000000000027</v>
      </c>
      <c r="Y19">
        <v>31.085999999999999</v>
      </c>
      <c r="Z19">
        <f t="shared" si="11"/>
        <v>3.625</v>
      </c>
      <c r="AA19">
        <f t="shared" si="12"/>
        <v>3625</v>
      </c>
      <c r="AB19">
        <f t="shared" si="13"/>
        <v>514.00000000000273</v>
      </c>
      <c r="AC19">
        <v>0.78573459370935805</v>
      </c>
      <c r="AD19">
        <f t="shared" si="15"/>
        <v>12.418458564870798</v>
      </c>
      <c r="AE19">
        <f t="shared" si="4"/>
        <v>7.2027059676250627</v>
      </c>
      <c r="AF19">
        <f t="shared" si="16"/>
        <v>5.6594152470798471E-2</v>
      </c>
      <c r="AG19" s="6">
        <f t="shared" si="1"/>
        <v>1.8845852772775888</v>
      </c>
      <c r="AH19" s="6">
        <v>33.299999999999997</v>
      </c>
      <c r="AI19" s="6">
        <f t="shared" si="2"/>
        <v>1.8845852772775888</v>
      </c>
      <c r="AJ19" s="6">
        <f>AI19/AH19</f>
        <v>5.6594152470798471E-2</v>
      </c>
    </row>
    <row r="20" spans="1:36" x14ac:dyDescent="0.2">
      <c r="A20" t="s">
        <v>37</v>
      </c>
      <c r="B20">
        <v>2022</v>
      </c>
      <c r="C20">
        <f t="shared" si="0"/>
        <v>3</v>
      </c>
      <c r="D20">
        <v>3</v>
      </c>
      <c r="E20">
        <v>1</v>
      </c>
      <c r="F20" s="3" t="s">
        <v>41</v>
      </c>
      <c r="G20">
        <v>100</v>
      </c>
      <c r="H20">
        <v>40</v>
      </c>
      <c r="I20">
        <f t="shared" si="14"/>
        <v>0.4</v>
      </c>
      <c r="K20">
        <v>30</v>
      </c>
      <c r="L20" s="1">
        <v>16</v>
      </c>
      <c r="M20">
        <v>5.09</v>
      </c>
      <c r="N20">
        <v>50.03</v>
      </c>
      <c r="O20">
        <f t="shared" si="5"/>
        <v>44.94</v>
      </c>
      <c r="P20">
        <v>36.53</v>
      </c>
      <c r="Q20">
        <f t="shared" si="6"/>
        <v>31.44</v>
      </c>
      <c r="R20">
        <f t="shared" si="7"/>
        <v>13.499999999999996</v>
      </c>
      <c r="S20">
        <f t="shared" si="8"/>
        <v>30.040053404539378</v>
      </c>
      <c r="T20">
        <v>16</v>
      </c>
      <c r="U20">
        <v>28.471</v>
      </c>
      <c r="V20">
        <v>31.635000000000002</v>
      </c>
      <c r="W20">
        <f t="shared" si="9"/>
        <v>3.1640000000000015</v>
      </c>
      <c r="X20">
        <f t="shared" si="10"/>
        <v>3164.0000000000014</v>
      </c>
      <c r="Y20">
        <v>31.495000000000001</v>
      </c>
      <c r="Z20">
        <f t="shared" si="11"/>
        <v>3.0240000000000009</v>
      </c>
      <c r="AA20">
        <f t="shared" si="12"/>
        <v>3024.0000000000009</v>
      </c>
      <c r="AB20">
        <f t="shared" si="13"/>
        <v>140.00000000000045</v>
      </c>
      <c r="AC20">
        <v>0.9189406814809622</v>
      </c>
      <c r="AD20">
        <f t="shared" si="15"/>
        <v>4.4247787610619591</v>
      </c>
      <c r="AE20">
        <f t="shared" si="4"/>
        <v>2.5663716814159363</v>
      </c>
      <c r="AF20">
        <f t="shared" si="16"/>
        <v>2.3583433418538035E-2</v>
      </c>
      <c r="AG20" s="6">
        <f t="shared" si="1"/>
        <v>0.78532833283731651</v>
      </c>
      <c r="AH20" s="6">
        <v>33.299999999999997</v>
      </c>
      <c r="AI20" s="6">
        <f t="shared" si="2"/>
        <v>0.78532833283731651</v>
      </c>
      <c r="AJ20" s="6">
        <f t="shared" ref="AJ20:AJ28" si="17">AI20/AH20</f>
        <v>2.3583433418538035E-2</v>
      </c>
    </row>
    <row r="21" spans="1:36" x14ac:dyDescent="0.2">
      <c r="A21" t="s">
        <v>37</v>
      </c>
      <c r="B21">
        <v>2022</v>
      </c>
      <c r="C21">
        <f t="shared" si="0"/>
        <v>3</v>
      </c>
      <c r="D21">
        <v>3</v>
      </c>
      <c r="E21">
        <v>1</v>
      </c>
      <c r="F21" t="s">
        <v>39</v>
      </c>
      <c r="L21" s="1"/>
      <c r="AG21" s="6"/>
      <c r="AH21" s="6"/>
      <c r="AI21" s="6"/>
      <c r="AJ21" s="6"/>
    </row>
    <row r="22" spans="1:36" x14ac:dyDescent="0.2">
      <c r="A22" t="s">
        <v>37</v>
      </c>
      <c r="B22">
        <v>2022</v>
      </c>
      <c r="C22">
        <f t="shared" si="0"/>
        <v>3</v>
      </c>
      <c r="D22">
        <v>3</v>
      </c>
      <c r="E22">
        <v>1</v>
      </c>
      <c r="F22" t="s">
        <v>40</v>
      </c>
      <c r="G22">
        <v>100</v>
      </c>
      <c r="H22">
        <v>40</v>
      </c>
      <c r="I22">
        <f t="shared" ref="I22:I28" si="18">H22/G22</f>
        <v>0.4</v>
      </c>
      <c r="K22">
        <v>30</v>
      </c>
      <c r="L22" s="1">
        <v>20</v>
      </c>
      <c r="M22">
        <v>5.0999999999999996</v>
      </c>
      <c r="N22">
        <v>50.57</v>
      </c>
      <c r="O22">
        <f t="shared" ref="O22:O28" si="19">N22-M22</f>
        <v>45.47</v>
      </c>
      <c r="P22">
        <v>33.85</v>
      </c>
      <c r="Q22">
        <f t="shared" ref="Q22:Q28" si="20">P22-M22</f>
        <v>28.75</v>
      </c>
      <c r="R22">
        <f t="shared" ref="R22:R28" si="21">O22-Q22</f>
        <v>16.72</v>
      </c>
      <c r="S22">
        <f t="shared" ref="S22:S28" si="22">((O22-Q22)/O22)*100</f>
        <v>36.771497690785132</v>
      </c>
      <c r="T22">
        <v>20</v>
      </c>
      <c r="U22">
        <v>28.547000000000001</v>
      </c>
      <c r="V22">
        <v>32.195</v>
      </c>
      <c r="W22">
        <f t="shared" ref="W22:W28" si="23">V22-U22</f>
        <v>3.6479999999999997</v>
      </c>
      <c r="X22">
        <f t="shared" ref="X22:X28" si="24">W22*1000</f>
        <v>3647.9999999999995</v>
      </c>
      <c r="Y22">
        <v>31.957000000000001</v>
      </c>
      <c r="Z22">
        <f t="shared" ref="Z22:Z28" si="25">Y22-U22</f>
        <v>3.41</v>
      </c>
      <c r="AA22">
        <f t="shared" ref="AA22:AA28" si="26">Z22*1000</f>
        <v>3410</v>
      </c>
      <c r="AB22">
        <f t="shared" ref="AB22:AB28" si="27">X22-AA22</f>
        <v>237.99999999999955</v>
      </c>
      <c r="AC22">
        <v>0.78573459370935805</v>
      </c>
      <c r="AD22">
        <f t="shared" ref="AD22:AD28" si="28">((X22-AA22)/X22)*100</f>
        <v>6.5241228070175321</v>
      </c>
      <c r="AE22">
        <f t="shared" si="4"/>
        <v>3.7839912280701684</v>
      </c>
      <c r="AF22">
        <f t="shared" ref="AF22:AF53" si="29">AC22*(AE22/100)</f>
        <v>2.9732128101874887E-2</v>
      </c>
      <c r="AG22" s="6">
        <f t="shared" si="1"/>
        <v>0.99007986579243368</v>
      </c>
      <c r="AH22" s="6">
        <v>33.299999999999997</v>
      </c>
      <c r="AI22" s="6">
        <f t="shared" si="2"/>
        <v>0.99007986579243368</v>
      </c>
      <c r="AJ22" s="6">
        <f t="shared" si="17"/>
        <v>2.9732128101874887E-2</v>
      </c>
    </row>
    <row r="23" spans="1:36" x14ac:dyDescent="0.2">
      <c r="A23" t="s">
        <v>37</v>
      </c>
      <c r="B23">
        <v>2022</v>
      </c>
      <c r="C23">
        <f t="shared" si="0"/>
        <v>3</v>
      </c>
      <c r="D23">
        <v>3</v>
      </c>
      <c r="E23">
        <v>2</v>
      </c>
      <c r="F23" s="3" t="s">
        <v>41</v>
      </c>
      <c r="G23">
        <v>100</v>
      </c>
      <c r="H23">
        <v>40</v>
      </c>
      <c r="I23">
        <f t="shared" si="18"/>
        <v>0.4</v>
      </c>
      <c r="K23">
        <v>55.4</v>
      </c>
      <c r="L23" s="1">
        <v>32</v>
      </c>
      <c r="M23">
        <v>5</v>
      </c>
      <c r="N23">
        <v>93.98</v>
      </c>
      <c r="O23">
        <f t="shared" si="19"/>
        <v>88.98</v>
      </c>
      <c r="P23">
        <v>67.13</v>
      </c>
      <c r="Q23">
        <f t="shared" si="20"/>
        <v>62.129999999999995</v>
      </c>
      <c r="R23">
        <f t="shared" si="21"/>
        <v>26.850000000000009</v>
      </c>
      <c r="S23">
        <f t="shared" si="22"/>
        <v>30.175320296695894</v>
      </c>
      <c r="T23">
        <v>32</v>
      </c>
      <c r="U23">
        <v>27.739000000000001</v>
      </c>
      <c r="V23">
        <v>31.704000000000001</v>
      </c>
      <c r="W23">
        <f t="shared" si="23"/>
        <v>3.9649999999999999</v>
      </c>
      <c r="X23">
        <f t="shared" si="24"/>
        <v>3965</v>
      </c>
      <c r="Y23">
        <v>31.52</v>
      </c>
      <c r="Z23">
        <f t="shared" si="25"/>
        <v>3.7809999999999988</v>
      </c>
      <c r="AA23">
        <f t="shared" si="26"/>
        <v>3780.9999999999986</v>
      </c>
      <c r="AB23">
        <f t="shared" si="27"/>
        <v>184.00000000000136</v>
      </c>
      <c r="AC23">
        <v>0.9189406814809622</v>
      </c>
      <c r="AD23">
        <f t="shared" si="28"/>
        <v>4.6406052963430362</v>
      </c>
      <c r="AE23">
        <f t="shared" si="4"/>
        <v>2.691551071878961</v>
      </c>
      <c r="AF23">
        <f t="shared" si="29"/>
        <v>2.4733757762332668E-2</v>
      </c>
      <c r="AG23" s="6">
        <f t="shared" si="1"/>
        <v>0.82363413348567782</v>
      </c>
      <c r="AH23" s="6">
        <v>33.299999999999997</v>
      </c>
      <c r="AI23" s="6">
        <f t="shared" si="2"/>
        <v>0.82363413348567782</v>
      </c>
      <c r="AJ23" s="6">
        <f t="shared" si="17"/>
        <v>2.4733757762332668E-2</v>
      </c>
    </row>
    <row r="24" spans="1:36" x14ac:dyDescent="0.2">
      <c r="A24" t="s">
        <v>37</v>
      </c>
      <c r="B24">
        <v>2022</v>
      </c>
      <c r="C24">
        <f t="shared" si="0"/>
        <v>3</v>
      </c>
      <c r="D24">
        <v>3</v>
      </c>
      <c r="E24">
        <v>2</v>
      </c>
      <c r="F24" t="s">
        <v>39</v>
      </c>
      <c r="G24">
        <v>100</v>
      </c>
      <c r="H24">
        <v>40</v>
      </c>
      <c r="I24">
        <f t="shared" si="18"/>
        <v>0.4</v>
      </c>
      <c r="K24">
        <v>30</v>
      </c>
      <c r="L24" s="1">
        <v>13</v>
      </c>
      <c r="M24">
        <v>5.14</v>
      </c>
      <c r="N24">
        <v>43.77</v>
      </c>
      <c r="O24">
        <f t="shared" si="19"/>
        <v>38.630000000000003</v>
      </c>
      <c r="P24">
        <v>26.79</v>
      </c>
      <c r="Q24">
        <f t="shared" si="20"/>
        <v>21.65</v>
      </c>
      <c r="R24">
        <f t="shared" si="21"/>
        <v>16.980000000000004</v>
      </c>
      <c r="S24">
        <f t="shared" si="22"/>
        <v>43.955475019414969</v>
      </c>
      <c r="T24">
        <v>13</v>
      </c>
      <c r="U24">
        <v>22.212</v>
      </c>
      <c r="V24">
        <v>25.902999999999999</v>
      </c>
      <c r="W24">
        <f t="shared" si="23"/>
        <v>3.6909999999999989</v>
      </c>
      <c r="X24">
        <f t="shared" si="24"/>
        <v>3690.9999999999991</v>
      </c>
      <c r="Y24">
        <v>25.577999999999999</v>
      </c>
      <c r="Z24">
        <f t="shared" si="25"/>
        <v>3.3659999999999997</v>
      </c>
      <c r="AA24">
        <f t="shared" si="26"/>
        <v>3365.9999999999995</v>
      </c>
      <c r="AB24">
        <f t="shared" si="27"/>
        <v>324.99999999999955</v>
      </c>
      <c r="AC24">
        <v>0.70440106584149909</v>
      </c>
      <c r="AD24">
        <f t="shared" si="28"/>
        <v>8.8052018423191445</v>
      </c>
      <c r="AE24">
        <f t="shared" si="4"/>
        <v>5.1070170685451037</v>
      </c>
      <c r="AF24">
        <f t="shared" si="29"/>
        <v>3.5973882663538993E-2</v>
      </c>
      <c r="AG24" s="6">
        <f t="shared" si="1"/>
        <v>1.1979302926958484</v>
      </c>
      <c r="AH24" s="6">
        <v>33.299999999999997</v>
      </c>
      <c r="AI24" s="6">
        <f t="shared" si="2"/>
        <v>1.1979302926958484</v>
      </c>
      <c r="AJ24" s="6">
        <f t="shared" si="17"/>
        <v>3.5973882663538993E-2</v>
      </c>
    </row>
    <row r="25" spans="1:36" x14ac:dyDescent="0.2">
      <c r="A25" t="s">
        <v>37</v>
      </c>
      <c r="B25">
        <v>2022</v>
      </c>
      <c r="C25">
        <f t="shared" si="0"/>
        <v>3</v>
      </c>
      <c r="D25">
        <v>3</v>
      </c>
      <c r="E25">
        <v>2</v>
      </c>
      <c r="F25" t="s">
        <v>40</v>
      </c>
      <c r="G25">
        <v>100</v>
      </c>
      <c r="H25">
        <v>40</v>
      </c>
      <c r="I25">
        <f t="shared" si="18"/>
        <v>0.4</v>
      </c>
      <c r="K25">
        <v>55.4</v>
      </c>
      <c r="L25" s="1">
        <v>29</v>
      </c>
      <c r="M25">
        <v>5.03</v>
      </c>
      <c r="N25">
        <v>96.59</v>
      </c>
      <c r="O25">
        <f t="shared" si="19"/>
        <v>91.56</v>
      </c>
      <c r="P25">
        <v>59.7</v>
      </c>
      <c r="Q25">
        <f t="shared" si="20"/>
        <v>54.67</v>
      </c>
      <c r="R25">
        <f t="shared" si="21"/>
        <v>36.89</v>
      </c>
      <c r="S25">
        <f t="shared" si="22"/>
        <v>40.290519877675841</v>
      </c>
      <c r="T25">
        <v>29</v>
      </c>
      <c r="U25">
        <v>28.353000000000002</v>
      </c>
      <c r="V25">
        <v>32.344000000000001</v>
      </c>
      <c r="W25">
        <f t="shared" si="23"/>
        <v>3.9909999999999997</v>
      </c>
      <c r="X25">
        <f t="shared" si="24"/>
        <v>3990.9999999999995</v>
      </c>
      <c r="Y25">
        <v>31.986000000000001</v>
      </c>
      <c r="Z25">
        <f t="shared" si="25"/>
        <v>3.6329999999999991</v>
      </c>
      <c r="AA25">
        <f t="shared" si="26"/>
        <v>3632.9999999999991</v>
      </c>
      <c r="AB25">
        <f t="shared" si="27"/>
        <v>358.00000000000045</v>
      </c>
      <c r="AC25">
        <v>0.78573459370935805</v>
      </c>
      <c r="AD25">
        <f t="shared" si="28"/>
        <v>8.9701829115510012</v>
      </c>
      <c r="AE25">
        <f t="shared" si="4"/>
        <v>5.2027060886995802</v>
      </c>
      <c r="AF25">
        <f t="shared" si="29"/>
        <v>4.0879461547935682E-2</v>
      </c>
      <c r="AG25" s="6">
        <f t="shared" si="1"/>
        <v>1.3612860695462581</v>
      </c>
      <c r="AH25" s="6">
        <v>33.299999999999997</v>
      </c>
      <c r="AI25" s="6">
        <f t="shared" si="2"/>
        <v>1.3612860695462581</v>
      </c>
      <c r="AJ25" s="6">
        <f t="shared" si="17"/>
        <v>4.0879461547935682E-2</v>
      </c>
    </row>
    <row r="26" spans="1:36" x14ac:dyDescent="0.2">
      <c r="A26" t="s">
        <v>37</v>
      </c>
      <c r="B26">
        <v>2022</v>
      </c>
      <c r="C26">
        <f t="shared" si="0"/>
        <v>3</v>
      </c>
      <c r="D26">
        <v>3</v>
      </c>
      <c r="E26">
        <v>3</v>
      </c>
      <c r="F26" s="3" t="s">
        <v>41</v>
      </c>
      <c r="G26">
        <v>100</v>
      </c>
      <c r="H26">
        <v>40</v>
      </c>
      <c r="I26">
        <f t="shared" si="18"/>
        <v>0.4</v>
      </c>
      <c r="K26">
        <v>30</v>
      </c>
      <c r="L26" s="1">
        <v>22</v>
      </c>
      <c r="M26">
        <v>5.04</v>
      </c>
      <c r="N26">
        <v>46.38</v>
      </c>
      <c r="O26">
        <f t="shared" si="19"/>
        <v>41.34</v>
      </c>
      <c r="P26">
        <v>31.76</v>
      </c>
      <c r="Q26">
        <f t="shared" si="20"/>
        <v>26.720000000000002</v>
      </c>
      <c r="R26">
        <f t="shared" si="21"/>
        <v>14.620000000000001</v>
      </c>
      <c r="S26">
        <f t="shared" si="22"/>
        <v>35.365263667150458</v>
      </c>
      <c r="T26">
        <v>22</v>
      </c>
      <c r="U26">
        <v>28.484999999999999</v>
      </c>
      <c r="V26">
        <v>31.972999999999999</v>
      </c>
      <c r="W26">
        <f t="shared" si="23"/>
        <v>3.4879999999999995</v>
      </c>
      <c r="X26">
        <f t="shared" si="24"/>
        <v>3487.9999999999995</v>
      </c>
      <c r="Y26">
        <v>31.742000000000001</v>
      </c>
      <c r="Z26">
        <f t="shared" si="25"/>
        <v>3.2570000000000014</v>
      </c>
      <c r="AA26">
        <f t="shared" si="26"/>
        <v>3257.0000000000014</v>
      </c>
      <c r="AB26">
        <f t="shared" si="27"/>
        <v>230.99999999999818</v>
      </c>
      <c r="AC26">
        <v>0.9189406814809622</v>
      </c>
      <c r="AD26">
        <f t="shared" si="28"/>
        <v>6.6227064220182967</v>
      </c>
      <c r="AE26">
        <f t="shared" si="4"/>
        <v>3.8411697247706118</v>
      </c>
      <c r="AF26">
        <f t="shared" si="29"/>
        <v>3.5298071245647461E-2</v>
      </c>
      <c r="AG26" s="6">
        <f t="shared" si="1"/>
        <v>1.1754257724800603</v>
      </c>
      <c r="AH26" s="6">
        <v>33.299999999999997</v>
      </c>
      <c r="AI26" s="6">
        <f t="shared" si="2"/>
        <v>1.1754257724800603</v>
      </c>
      <c r="AJ26" s="6">
        <f t="shared" si="17"/>
        <v>3.5298071245647461E-2</v>
      </c>
    </row>
    <row r="27" spans="1:36" x14ac:dyDescent="0.2">
      <c r="A27" t="s">
        <v>37</v>
      </c>
      <c r="B27">
        <v>2022</v>
      </c>
      <c r="C27">
        <f t="shared" si="0"/>
        <v>3</v>
      </c>
      <c r="D27">
        <v>3</v>
      </c>
      <c r="E27">
        <v>3</v>
      </c>
      <c r="F27" t="s">
        <v>39</v>
      </c>
      <c r="G27">
        <v>100</v>
      </c>
      <c r="H27">
        <v>40</v>
      </c>
      <c r="I27">
        <f t="shared" si="18"/>
        <v>0.4</v>
      </c>
      <c r="K27">
        <v>30</v>
      </c>
      <c r="L27" s="1">
        <v>19</v>
      </c>
      <c r="M27">
        <v>5.08</v>
      </c>
      <c r="N27">
        <v>43.68</v>
      </c>
      <c r="O27">
        <f t="shared" si="19"/>
        <v>38.6</v>
      </c>
      <c r="P27">
        <v>29.75</v>
      </c>
      <c r="Q27">
        <f t="shared" si="20"/>
        <v>24.67</v>
      </c>
      <c r="R27">
        <f t="shared" si="21"/>
        <v>13.93</v>
      </c>
      <c r="S27">
        <f t="shared" si="22"/>
        <v>36.088082901554401</v>
      </c>
      <c r="T27">
        <v>19</v>
      </c>
      <c r="U27">
        <v>28.951000000000001</v>
      </c>
      <c r="V27">
        <v>32.335999999999999</v>
      </c>
      <c r="W27">
        <f t="shared" si="23"/>
        <v>3.384999999999998</v>
      </c>
      <c r="X27">
        <f t="shared" si="24"/>
        <v>3384.9999999999982</v>
      </c>
      <c r="Y27">
        <v>32.119</v>
      </c>
      <c r="Z27">
        <f t="shared" si="25"/>
        <v>3.1679999999999993</v>
      </c>
      <c r="AA27">
        <f t="shared" si="26"/>
        <v>3167.9999999999991</v>
      </c>
      <c r="AB27">
        <f t="shared" si="27"/>
        <v>216.99999999999909</v>
      </c>
      <c r="AC27">
        <v>0.70440106584149909</v>
      </c>
      <c r="AD27">
        <f t="shared" si="28"/>
        <v>6.4106351550959877</v>
      </c>
      <c r="AE27">
        <f t="shared" si="4"/>
        <v>3.7181683899556726</v>
      </c>
      <c r="AF27">
        <f t="shared" si="29"/>
        <v>2.6190817768629464E-2</v>
      </c>
      <c r="AG27" s="6">
        <f t="shared" si="1"/>
        <v>0.8721542316953611</v>
      </c>
      <c r="AH27" s="6">
        <v>33.299999999999997</v>
      </c>
      <c r="AI27" s="6">
        <f t="shared" si="2"/>
        <v>0.8721542316953611</v>
      </c>
      <c r="AJ27" s="6">
        <f t="shared" si="17"/>
        <v>2.6190817768629464E-2</v>
      </c>
    </row>
    <row r="28" spans="1:36" x14ac:dyDescent="0.2">
      <c r="A28" t="s">
        <v>37</v>
      </c>
      <c r="B28">
        <v>2022</v>
      </c>
      <c r="C28">
        <f t="shared" si="0"/>
        <v>3</v>
      </c>
      <c r="D28">
        <v>3</v>
      </c>
      <c r="E28">
        <v>3</v>
      </c>
      <c r="F28" t="s">
        <v>40</v>
      </c>
      <c r="G28">
        <v>100</v>
      </c>
      <c r="H28">
        <v>40</v>
      </c>
      <c r="I28">
        <f t="shared" si="18"/>
        <v>0.4</v>
      </c>
      <c r="K28">
        <v>30</v>
      </c>
      <c r="L28" s="1">
        <v>14</v>
      </c>
      <c r="M28">
        <v>5.16</v>
      </c>
      <c r="N28">
        <v>43.55</v>
      </c>
      <c r="O28">
        <f t="shared" si="19"/>
        <v>38.39</v>
      </c>
      <c r="P28">
        <v>27.58</v>
      </c>
      <c r="Q28">
        <f t="shared" si="20"/>
        <v>22.419999999999998</v>
      </c>
      <c r="R28">
        <f t="shared" si="21"/>
        <v>15.970000000000002</v>
      </c>
      <c r="S28">
        <f t="shared" si="22"/>
        <v>41.599374837197196</v>
      </c>
      <c r="T28">
        <v>14</v>
      </c>
      <c r="U28">
        <v>27.82</v>
      </c>
      <c r="V28">
        <v>31.556000000000001</v>
      </c>
      <c r="W28">
        <f t="shared" si="23"/>
        <v>3.7360000000000007</v>
      </c>
      <c r="X28">
        <f t="shared" si="24"/>
        <v>3736.0000000000005</v>
      </c>
      <c r="Y28">
        <v>31.238</v>
      </c>
      <c r="Z28">
        <f t="shared" si="25"/>
        <v>3.4179999999999993</v>
      </c>
      <c r="AA28">
        <f t="shared" si="26"/>
        <v>3417.9999999999991</v>
      </c>
      <c r="AB28">
        <f t="shared" si="27"/>
        <v>318.00000000000136</v>
      </c>
      <c r="AC28">
        <v>0.78573459370935805</v>
      </c>
      <c r="AD28">
        <f t="shared" si="28"/>
        <v>8.5117773019272303</v>
      </c>
      <c r="AE28">
        <f t="shared" si="4"/>
        <v>4.9368308351177932</v>
      </c>
      <c r="AF28">
        <f t="shared" si="29"/>
        <v>3.8790387704431099E-2</v>
      </c>
      <c r="AG28" s="6">
        <f t="shared" si="1"/>
        <v>1.2917199105575554</v>
      </c>
      <c r="AH28" s="6">
        <v>33.299999999999997</v>
      </c>
      <c r="AI28" s="6">
        <f t="shared" si="2"/>
        <v>1.2917199105575554</v>
      </c>
      <c r="AJ28" s="6">
        <f t="shared" si="17"/>
        <v>3.8790387704431099E-2</v>
      </c>
    </row>
    <row r="29" spans="1:36" x14ac:dyDescent="0.2">
      <c r="A29" t="s">
        <v>43</v>
      </c>
      <c r="B29">
        <v>2022</v>
      </c>
      <c r="C29">
        <f>2025-B29</f>
        <v>3</v>
      </c>
      <c r="D29">
        <v>1</v>
      </c>
      <c r="E29">
        <v>1</v>
      </c>
      <c r="F29" t="s">
        <v>38</v>
      </c>
      <c r="G29">
        <v>50</v>
      </c>
      <c r="H29">
        <v>15</v>
      </c>
      <c r="I29">
        <v>0.3</v>
      </c>
      <c r="J29">
        <v>4</v>
      </c>
      <c r="K29">
        <v>0</v>
      </c>
      <c r="L29">
        <v>7.5</v>
      </c>
      <c r="M29">
        <v>5.15</v>
      </c>
      <c r="N29">
        <v>45.275999999999996</v>
      </c>
      <c r="O29">
        <v>40.125999999999998</v>
      </c>
      <c r="P29">
        <v>37.389499999999998</v>
      </c>
      <c r="Q29">
        <v>32.2395</v>
      </c>
      <c r="R29">
        <v>7.8864999999999981</v>
      </c>
      <c r="S29">
        <v>19.63333607138987</v>
      </c>
      <c r="T29">
        <v>10.5</v>
      </c>
      <c r="U29">
        <v>29.500549999999997</v>
      </c>
      <c r="V29">
        <v>34.151899999999998</v>
      </c>
      <c r="W29">
        <v>4.651349999999999</v>
      </c>
      <c r="X29">
        <v>4651.3499999999985</v>
      </c>
      <c r="Y29">
        <v>33.929550000000006</v>
      </c>
      <c r="Z29">
        <v>4.4290000000000038</v>
      </c>
      <c r="AA29">
        <v>4429.0000000000036</v>
      </c>
      <c r="AB29">
        <v>222.34999999999491</v>
      </c>
      <c r="AC29">
        <v>1.5449435584168767</v>
      </c>
      <c r="AD29">
        <v>4.7755451634094346</v>
      </c>
      <c r="AE29">
        <f t="shared" si="4"/>
        <v>2.769816194777472</v>
      </c>
      <c r="AF29">
        <f t="shared" si="29"/>
        <v>4.2792096881202002E-2</v>
      </c>
      <c r="AG29" s="2">
        <f t="shared" ref="AG29:AG60" si="30">AF29*G29</f>
        <v>2.1396048440601003</v>
      </c>
      <c r="AH29">
        <v>25</v>
      </c>
      <c r="AI29">
        <f>AF29-(AI30+AI31)</f>
        <v>1.5251761237884617E-3</v>
      </c>
      <c r="AJ29">
        <f>AI29/AH29</f>
        <v>6.100704495153847E-5</v>
      </c>
    </row>
    <row r="30" spans="1:36" x14ac:dyDescent="0.2">
      <c r="A30" t="s">
        <v>43</v>
      </c>
      <c r="B30">
        <v>2022</v>
      </c>
      <c r="C30">
        <f t="shared" ref="C30:C82" si="31">2025-B30</f>
        <v>3</v>
      </c>
      <c r="D30">
        <v>1</v>
      </c>
      <c r="E30">
        <v>1</v>
      </c>
      <c r="F30" t="s">
        <v>39</v>
      </c>
      <c r="G30">
        <v>25</v>
      </c>
      <c r="H30">
        <v>10</v>
      </c>
      <c r="I30">
        <v>0.4</v>
      </c>
      <c r="J30">
        <v>4</v>
      </c>
      <c r="K30">
        <v>0</v>
      </c>
      <c r="L30">
        <v>9.5</v>
      </c>
      <c r="M30">
        <v>5.14</v>
      </c>
      <c r="N30">
        <v>44.019500000000001</v>
      </c>
      <c r="O30">
        <v>38.8795</v>
      </c>
      <c r="P30">
        <v>30.148499999999999</v>
      </c>
      <c r="Q30">
        <v>25.008499999999998</v>
      </c>
      <c r="R30">
        <v>13.871000000000002</v>
      </c>
      <c r="S30">
        <v>35.819449819457148</v>
      </c>
      <c r="T30">
        <v>11.5</v>
      </c>
      <c r="U30">
        <v>25.383600000000001</v>
      </c>
      <c r="V30">
        <v>29.0246</v>
      </c>
      <c r="W30">
        <v>3.641</v>
      </c>
      <c r="X30">
        <v>3641</v>
      </c>
      <c r="Y30">
        <v>28.860100000000003</v>
      </c>
      <c r="Z30">
        <v>3.4765000000000015</v>
      </c>
      <c r="AA30">
        <v>3476.5000000000014</v>
      </c>
      <c r="AB30">
        <v>164.49999999999864</v>
      </c>
      <c r="AC30">
        <v>1.5751266302286586</v>
      </c>
      <c r="AD30">
        <v>4.517088468279038</v>
      </c>
      <c r="AE30">
        <f t="shared" si="4"/>
        <v>2.6199113116018418</v>
      </c>
      <c r="AF30">
        <f t="shared" si="29"/>
        <v>4.126692075741354E-2</v>
      </c>
      <c r="AG30" s="2">
        <f t="shared" si="30"/>
        <v>1.0316730189353385</v>
      </c>
      <c r="AH30">
        <v>15</v>
      </c>
      <c r="AI30">
        <f>AF30-AF31</f>
        <v>4.7881214318164778E-3</v>
      </c>
      <c r="AJ30">
        <f t="shared" ref="AJ30:AJ46" si="32">AI30/AH30</f>
        <v>3.1920809545443187E-4</v>
      </c>
    </row>
    <row r="31" spans="1:36" x14ac:dyDescent="0.2">
      <c r="A31" t="s">
        <v>43</v>
      </c>
      <c r="B31">
        <v>2022</v>
      </c>
      <c r="C31">
        <f t="shared" si="31"/>
        <v>3</v>
      </c>
      <c r="D31">
        <v>1</v>
      </c>
      <c r="E31">
        <v>1</v>
      </c>
      <c r="F31" t="s">
        <v>40</v>
      </c>
      <c r="G31">
        <v>10</v>
      </c>
      <c r="H31">
        <v>8</v>
      </c>
      <c r="I31">
        <v>0.8</v>
      </c>
      <c r="J31">
        <v>4</v>
      </c>
      <c r="K31">
        <v>0</v>
      </c>
      <c r="L31">
        <v>8194.5</v>
      </c>
      <c r="M31">
        <v>5.1099999999999994</v>
      </c>
      <c r="N31">
        <v>38.926500000000004</v>
      </c>
      <c r="O31">
        <v>33.816499999999998</v>
      </c>
      <c r="P31">
        <v>31.2925</v>
      </c>
      <c r="Q31">
        <v>26.182500000000001</v>
      </c>
      <c r="R31">
        <v>7.6340000000000003</v>
      </c>
      <c r="S31">
        <v>22.61742487114789</v>
      </c>
      <c r="T31">
        <v>9.5</v>
      </c>
      <c r="U31">
        <v>24.983249999999998</v>
      </c>
      <c r="V31">
        <v>28.529399999999999</v>
      </c>
      <c r="W31">
        <v>3.546149999999999</v>
      </c>
      <c r="X31">
        <v>3546.1499999999987</v>
      </c>
      <c r="Y31">
        <v>28.387549999999997</v>
      </c>
      <c r="Z31">
        <v>3.4042999999999992</v>
      </c>
      <c r="AA31">
        <v>3404.2999999999993</v>
      </c>
      <c r="AB31">
        <v>141.84999999999968</v>
      </c>
      <c r="AC31">
        <v>1.5738633378678664</v>
      </c>
      <c r="AD31">
        <v>3.9961844260926114</v>
      </c>
      <c r="AE31">
        <f t="shared" si="4"/>
        <v>2.3177869671337143</v>
      </c>
      <c r="AF31">
        <f t="shared" si="29"/>
        <v>3.6478799325597062E-2</v>
      </c>
      <c r="AG31" s="2">
        <f t="shared" si="30"/>
        <v>0.36478799325597061</v>
      </c>
      <c r="AH31">
        <v>10</v>
      </c>
      <c r="AI31">
        <f>AF31</f>
        <v>3.6478799325597062E-2</v>
      </c>
      <c r="AJ31">
        <f t="shared" si="32"/>
        <v>3.6478799325597062E-3</v>
      </c>
    </row>
    <row r="32" spans="1:36" x14ac:dyDescent="0.2">
      <c r="A32" t="s">
        <v>43</v>
      </c>
      <c r="B32">
        <v>2022</v>
      </c>
      <c r="C32">
        <f t="shared" si="31"/>
        <v>3</v>
      </c>
      <c r="D32">
        <v>1</v>
      </c>
      <c r="E32">
        <v>2</v>
      </c>
      <c r="F32" s="3" t="s">
        <v>41</v>
      </c>
      <c r="G32">
        <v>50</v>
      </c>
      <c r="H32">
        <v>15</v>
      </c>
      <c r="I32">
        <v>0.3</v>
      </c>
      <c r="J32">
        <v>4</v>
      </c>
      <c r="K32">
        <v>0</v>
      </c>
      <c r="L32">
        <v>13.5</v>
      </c>
      <c r="M32">
        <v>5.15</v>
      </c>
      <c r="N32">
        <v>38.042000000000002</v>
      </c>
      <c r="O32">
        <v>32.891999999999996</v>
      </c>
      <c r="P32">
        <v>30.730499999999999</v>
      </c>
      <c r="Q32">
        <v>25.580500000000001</v>
      </c>
      <c r="R32">
        <v>7.3115000000000006</v>
      </c>
      <c r="S32">
        <v>22.22913295045425</v>
      </c>
      <c r="T32">
        <v>9.5</v>
      </c>
      <c r="U32">
        <v>27.394449999999999</v>
      </c>
      <c r="V32">
        <v>31.1037</v>
      </c>
      <c r="W32">
        <v>3.7092500000000008</v>
      </c>
      <c r="X32">
        <v>3709.2500000000009</v>
      </c>
      <c r="Y32">
        <v>30.954999999999998</v>
      </c>
      <c r="Z32">
        <v>3.560550000000001</v>
      </c>
      <c r="AA32">
        <v>3560.5500000000011</v>
      </c>
      <c r="AB32">
        <v>148.69999999999959</v>
      </c>
      <c r="AC32">
        <v>1.5449435584168767</v>
      </c>
      <c r="AD32">
        <v>4.0092706536983567</v>
      </c>
      <c r="AE32">
        <f t="shared" si="4"/>
        <v>2.3253769791450467</v>
      </c>
      <c r="AF32">
        <f t="shared" si="29"/>
        <v>3.5925761848210357E-2</v>
      </c>
      <c r="AG32" s="2">
        <f t="shared" si="30"/>
        <v>1.7962880924105178</v>
      </c>
      <c r="AH32">
        <v>25</v>
      </c>
      <c r="AI32">
        <f>AF32-(AI33+AI34)</f>
        <v>2.5563698594492437E-3</v>
      </c>
      <c r="AJ32">
        <f t="shared" si="32"/>
        <v>1.0225479437796975E-4</v>
      </c>
    </row>
    <row r="33" spans="1:36" x14ac:dyDescent="0.2">
      <c r="A33" t="s">
        <v>43</v>
      </c>
      <c r="B33">
        <v>2022</v>
      </c>
      <c r="C33">
        <f t="shared" si="31"/>
        <v>3</v>
      </c>
      <c r="D33">
        <v>1</v>
      </c>
      <c r="E33">
        <v>2</v>
      </c>
      <c r="F33" t="s">
        <v>39</v>
      </c>
      <c r="G33">
        <v>25</v>
      </c>
      <c r="H33">
        <v>12</v>
      </c>
      <c r="I33">
        <v>0.48</v>
      </c>
      <c r="J33">
        <v>4</v>
      </c>
      <c r="K33">
        <v>0</v>
      </c>
      <c r="L33">
        <v>15.5</v>
      </c>
      <c r="M33">
        <v>5.1099999999999994</v>
      </c>
      <c r="N33">
        <v>41.954499999999996</v>
      </c>
      <c r="O33">
        <v>36.844499999999996</v>
      </c>
      <c r="P33">
        <v>34.326499999999996</v>
      </c>
      <c r="Q33">
        <v>29.2165</v>
      </c>
      <c r="R33">
        <v>7.6280000000000001</v>
      </c>
      <c r="S33">
        <v>20.767792694417871</v>
      </c>
      <c r="T33">
        <v>16.5</v>
      </c>
      <c r="U33">
        <v>28.714199999999998</v>
      </c>
      <c r="V33">
        <v>31.58295</v>
      </c>
      <c r="W33">
        <v>2.8687500000000004</v>
      </c>
      <c r="X33">
        <v>2868.7500000000005</v>
      </c>
      <c r="Y33">
        <v>31.477699999999999</v>
      </c>
      <c r="Z33">
        <v>2.7634999999999987</v>
      </c>
      <c r="AA33">
        <v>2763.4999999999986</v>
      </c>
      <c r="AB33">
        <v>105.25000000000182</v>
      </c>
      <c r="AC33">
        <v>1.5751266302286586</v>
      </c>
      <c r="AD33">
        <v>3.6526228024618685</v>
      </c>
      <c r="AE33">
        <f t="shared" si="4"/>
        <v>2.1185212254278838</v>
      </c>
      <c r="AF33">
        <f t="shared" si="29"/>
        <v>3.3369391988761113E-2</v>
      </c>
      <c r="AG33" s="2">
        <f t="shared" si="30"/>
        <v>0.83423479971902781</v>
      </c>
      <c r="AH33">
        <v>15</v>
      </c>
      <c r="AI33">
        <f>AF33-AF34</f>
        <v>-5.6689061319786307E-3</v>
      </c>
      <c r="AJ33">
        <f t="shared" si="32"/>
        <v>-3.7792707546524204E-4</v>
      </c>
    </row>
    <row r="34" spans="1:36" x14ac:dyDescent="0.2">
      <c r="A34" t="s">
        <v>43</v>
      </c>
      <c r="B34">
        <v>2022</v>
      </c>
      <c r="C34">
        <f t="shared" si="31"/>
        <v>3</v>
      </c>
      <c r="D34">
        <v>1</v>
      </c>
      <c r="E34">
        <v>2</v>
      </c>
      <c r="F34" t="s">
        <v>40</v>
      </c>
      <c r="G34">
        <v>10</v>
      </c>
      <c r="H34">
        <v>9</v>
      </c>
      <c r="I34">
        <v>0.9</v>
      </c>
      <c r="J34">
        <v>4</v>
      </c>
      <c r="K34">
        <v>0</v>
      </c>
      <c r="L34">
        <v>17.5</v>
      </c>
      <c r="M34">
        <v>5.09</v>
      </c>
      <c r="N34">
        <v>38.939</v>
      </c>
      <c r="O34">
        <v>33.849000000000004</v>
      </c>
      <c r="P34">
        <v>31.270499999999998</v>
      </c>
      <c r="Q34">
        <v>26.180500000000002</v>
      </c>
      <c r="R34">
        <v>7.6684999999999999</v>
      </c>
      <c r="S34">
        <v>22.655391683424611</v>
      </c>
      <c r="T34">
        <v>11</v>
      </c>
      <c r="U34">
        <v>27.58765</v>
      </c>
      <c r="V34">
        <v>30.893250000000002</v>
      </c>
      <c r="W34">
        <v>3.3056000000000001</v>
      </c>
      <c r="X34">
        <v>3305.6000000000004</v>
      </c>
      <c r="Y34">
        <v>30.751550000000002</v>
      </c>
      <c r="Z34">
        <v>3.1638999999999999</v>
      </c>
      <c r="AA34">
        <v>3163.8999999999996</v>
      </c>
      <c r="AB34">
        <v>141.70000000000027</v>
      </c>
      <c r="AC34">
        <v>1.5738633378678664</v>
      </c>
      <c r="AD34">
        <v>4.2765727451394735</v>
      </c>
      <c r="AE34">
        <f t="shared" si="4"/>
        <v>2.4804121921808946</v>
      </c>
      <c r="AF34">
        <f t="shared" si="29"/>
        <v>3.9038298120739744E-2</v>
      </c>
      <c r="AG34" s="2">
        <f t="shared" si="30"/>
        <v>0.39038298120739745</v>
      </c>
      <c r="AH34">
        <v>10</v>
      </c>
      <c r="AI34">
        <f>AF34</f>
        <v>3.9038298120739744E-2</v>
      </c>
      <c r="AJ34">
        <f t="shared" si="32"/>
        <v>3.9038298120739742E-3</v>
      </c>
    </row>
    <row r="35" spans="1:36" x14ac:dyDescent="0.2">
      <c r="A35" t="s">
        <v>43</v>
      </c>
      <c r="B35">
        <v>2022</v>
      </c>
      <c r="C35">
        <f t="shared" si="31"/>
        <v>3</v>
      </c>
      <c r="D35">
        <v>1</v>
      </c>
      <c r="E35">
        <v>3</v>
      </c>
      <c r="F35" s="3" t="s">
        <v>41</v>
      </c>
      <c r="G35">
        <v>50</v>
      </c>
      <c r="H35">
        <v>17</v>
      </c>
      <c r="I35">
        <v>0.34</v>
      </c>
      <c r="J35">
        <v>4</v>
      </c>
      <c r="K35">
        <v>0</v>
      </c>
      <c r="L35">
        <v>19.5</v>
      </c>
      <c r="M35">
        <v>5.09</v>
      </c>
      <c r="N35">
        <v>40.603499999999997</v>
      </c>
      <c r="O35">
        <v>35.513500000000001</v>
      </c>
      <c r="P35">
        <v>33.572000000000003</v>
      </c>
      <c r="Q35">
        <v>28.481999999999999</v>
      </c>
      <c r="R35">
        <v>7.0315000000000012</v>
      </c>
      <c r="S35">
        <v>19.828099010110847</v>
      </c>
      <c r="T35">
        <v>15</v>
      </c>
      <c r="U35">
        <v>28.393799999999999</v>
      </c>
      <c r="V35">
        <v>31.583100000000002</v>
      </c>
      <c r="W35">
        <v>3.1892999999999994</v>
      </c>
      <c r="X35">
        <v>3189.2999999999993</v>
      </c>
      <c r="Y35">
        <v>31.457000000000001</v>
      </c>
      <c r="Z35">
        <v>3.0632000000000001</v>
      </c>
      <c r="AA35">
        <v>3063.2</v>
      </c>
      <c r="AB35">
        <v>126.09999999999945</v>
      </c>
      <c r="AC35">
        <v>1.5449435584168767</v>
      </c>
      <c r="AD35">
        <v>3.9498985633227015</v>
      </c>
      <c r="AE35">
        <f t="shared" si="4"/>
        <v>2.2909411667271669</v>
      </c>
      <c r="AF35">
        <f t="shared" si="29"/>
        <v>3.5393747982471808E-2</v>
      </c>
      <c r="AG35" s="2">
        <f t="shared" si="30"/>
        <v>1.7696873991235904</v>
      </c>
      <c r="AH35">
        <v>25</v>
      </c>
      <c r="AI35">
        <f>AF35-(AI36+AI37)</f>
        <v>-1.7284695206948308E-3</v>
      </c>
      <c r="AJ35">
        <f t="shared" si="32"/>
        <v>-6.9138780827793239E-5</v>
      </c>
    </row>
    <row r="36" spans="1:36" x14ac:dyDescent="0.2">
      <c r="A36" t="s">
        <v>43</v>
      </c>
      <c r="B36">
        <v>2022</v>
      </c>
      <c r="C36">
        <f t="shared" si="31"/>
        <v>3</v>
      </c>
      <c r="D36">
        <v>1</v>
      </c>
      <c r="E36">
        <v>3</v>
      </c>
      <c r="F36" t="s">
        <v>39</v>
      </c>
      <c r="G36">
        <v>25</v>
      </c>
      <c r="H36">
        <v>15</v>
      </c>
      <c r="I36">
        <v>0.6</v>
      </c>
      <c r="J36">
        <v>4</v>
      </c>
      <c r="K36">
        <v>0</v>
      </c>
      <c r="L36">
        <v>21.5</v>
      </c>
      <c r="M36">
        <v>5.04</v>
      </c>
      <c r="N36">
        <v>39.876000000000005</v>
      </c>
      <c r="O36">
        <v>34.835999999999999</v>
      </c>
      <c r="P36">
        <v>32.115000000000002</v>
      </c>
      <c r="Q36">
        <v>27.075000000000003</v>
      </c>
      <c r="R36">
        <v>7.761000000000001</v>
      </c>
      <c r="S36">
        <v>22.313248278176172</v>
      </c>
      <c r="T36">
        <v>4</v>
      </c>
      <c r="U36">
        <v>27.612949999999998</v>
      </c>
      <c r="V36">
        <v>30.475299999999997</v>
      </c>
      <c r="W36">
        <v>2.8623499999999993</v>
      </c>
      <c r="X36">
        <v>2862.3499999999995</v>
      </c>
      <c r="Y36">
        <v>30.35905</v>
      </c>
      <c r="Z36">
        <v>2.7461000000000002</v>
      </c>
      <c r="AA36">
        <v>2746.1000000000004</v>
      </c>
      <c r="AB36">
        <v>116.24999999999909</v>
      </c>
      <c r="AC36">
        <v>1.5751266302286586</v>
      </c>
      <c r="AD36">
        <v>4.0634081129102917</v>
      </c>
      <c r="AE36">
        <f t="shared" si="4"/>
        <v>2.3567767054879689</v>
      </c>
      <c r="AF36">
        <f t="shared" si="29"/>
        <v>3.7122217503166639E-2</v>
      </c>
      <c r="AG36" s="2">
        <f t="shared" si="30"/>
        <v>0.92805543757916598</v>
      </c>
      <c r="AH36">
        <v>15</v>
      </c>
      <c r="AI36">
        <f>AF36-AF37</f>
        <v>-1.4078873770825007E-3</v>
      </c>
      <c r="AJ36">
        <f t="shared" si="32"/>
        <v>-9.3859158472166715E-5</v>
      </c>
    </row>
    <row r="37" spans="1:36" x14ac:dyDescent="0.2">
      <c r="A37" t="s">
        <v>43</v>
      </c>
      <c r="B37">
        <v>2022</v>
      </c>
      <c r="C37">
        <f t="shared" si="31"/>
        <v>3</v>
      </c>
      <c r="D37">
        <v>1</v>
      </c>
      <c r="E37">
        <v>3</v>
      </c>
      <c r="F37" t="s">
        <v>40</v>
      </c>
      <c r="G37">
        <v>10</v>
      </c>
      <c r="H37">
        <v>10</v>
      </c>
      <c r="I37">
        <v>1</v>
      </c>
      <c r="J37">
        <v>4</v>
      </c>
      <c r="K37">
        <v>0</v>
      </c>
      <c r="L37">
        <v>24</v>
      </c>
      <c r="M37">
        <v>5.1150000000000002</v>
      </c>
      <c r="N37">
        <v>42.016999999999996</v>
      </c>
      <c r="O37">
        <v>36.902000000000001</v>
      </c>
      <c r="P37">
        <v>34.325500000000005</v>
      </c>
      <c r="Q37">
        <v>29.210500000000003</v>
      </c>
      <c r="R37">
        <v>7.6914999999999978</v>
      </c>
      <c r="S37">
        <v>20.84263346229438</v>
      </c>
      <c r="T37">
        <v>12</v>
      </c>
      <c r="U37">
        <v>30.023350000000001</v>
      </c>
      <c r="V37">
        <v>33.0518</v>
      </c>
      <c r="W37">
        <v>3.0284500000000012</v>
      </c>
      <c r="X37">
        <v>3028.4500000000012</v>
      </c>
      <c r="Y37">
        <v>32.923900000000003</v>
      </c>
      <c r="Z37">
        <v>2.9005500000000044</v>
      </c>
      <c r="AA37">
        <v>2900.5500000000043</v>
      </c>
      <c r="AB37">
        <v>127.89999999999691</v>
      </c>
      <c r="AC37">
        <v>1.5738633378678664</v>
      </c>
      <c r="AD37">
        <v>4.2209011235225571</v>
      </c>
      <c r="AE37">
        <f t="shared" si="4"/>
        <v>2.4481226516430827</v>
      </c>
      <c r="AF37">
        <f t="shared" si="29"/>
        <v>3.853010488024914E-2</v>
      </c>
      <c r="AG37" s="2">
        <f t="shared" si="30"/>
        <v>0.38530104880249139</v>
      </c>
      <c r="AH37">
        <v>10</v>
      </c>
      <c r="AI37">
        <f>AF37</f>
        <v>3.853010488024914E-2</v>
      </c>
      <c r="AJ37">
        <f t="shared" si="32"/>
        <v>3.8530104880249139E-3</v>
      </c>
    </row>
    <row r="38" spans="1:36" x14ac:dyDescent="0.2">
      <c r="A38" t="s">
        <v>43</v>
      </c>
      <c r="B38">
        <v>2014</v>
      </c>
      <c r="C38">
        <f t="shared" si="31"/>
        <v>11</v>
      </c>
      <c r="D38">
        <v>2</v>
      </c>
      <c r="E38">
        <v>1</v>
      </c>
      <c r="F38" s="3" t="s">
        <v>41</v>
      </c>
      <c r="G38">
        <v>50</v>
      </c>
      <c r="H38">
        <v>17</v>
      </c>
      <c r="I38">
        <v>0.34</v>
      </c>
      <c r="J38">
        <v>4</v>
      </c>
      <c r="K38">
        <v>0</v>
      </c>
      <c r="L38">
        <v>25.5</v>
      </c>
      <c r="M38">
        <v>5.0049999999999999</v>
      </c>
      <c r="N38">
        <v>38.354500000000002</v>
      </c>
      <c r="O38">
        <v>33.349499999999999</v>
      </c>
      <c r="P38">
        <v>30.297000000000001</v>
      </c>
      <c r="Q38">
        <v>25.292000000000002</v>
      </c>
      <c r="R38">
        <v>8.057500000000001</v>
      </c>
      <c r="S38">
        <v>24.162050977540069</v>
      </c>
      <c r="T38">
        <v>16.5</v>
      </c>
      <c r="U38">
        <v>27.600899999999999</v>
      </c>
      <c r="V38">
        <v>30.536549999999998</v>
      </c>
      <c r="W38">
        <v>2.9356500000000008</v>
      </c>
      <c r="X38">
        <v>2935.6500000000005</v>
      </c>
      <c r="Y38">
        <v>30.383400000000002</v>
      </c>
      <c r="Z38">
        <v>2.7825000000000006</v>
      </c>
      <c r="AA38">
        <v>2782.5000000000005</v>
      </c>
      <c r="AB38">
        <v>153.15000000000032</v>
      </c>
      <c r="AC38">
        <v>1.5449435584168767</v>
      </c>
      <c r="AD38">
        <v>5.2154125765427741</v>
      </c>
      <c r="AE38">
        <f t="shared" si="4"/>
        <v>3.0249392943948088</v>
      </c>
      <c r="AF38">
        <f t="shared" si="29"/>
        <v>4.6733604774773521E-2</v>
      </c>
      <c r="AG38" s="2">
        <f t="shared" si="30"/>
        <v>2.3366802387386763</v>
      </c>
      <c r="AH38">
        <v>25</v>
      </c>
      <c r="AI38">
        <f>AF38-(AI39+AI40)</f>
        <v>-1.8526523607740528E-3</v>
      </c>
      <c r="AJ38">
        <f t="shared" si="32"/>
        <v>-7.4106094430962112E-5</v>
      </c>
    </row>
    <row r="39" spans="1:36" x14ac:dyDescent="0.2">
      <c r="A39" t="s">
        <v>43</v>
      </c>
      <c r="B39">
        <v>2014</v>
      </c>
      <c r="C39">
        <f t="shared" si="31"/>
        <v>11</v>
      </c>
      <c r="D39">
        <v>2</v>
      </c>
      <c r="E39">
        <v>1</v>
      </c>
      <c r="F39" t="s">
        <v>39</v>
      </c>
      <c r="G39">
        <v>25</v>
      </c>
      <c r="H39">
        <v>9</v>
      </c>
      <c r="I39">
        <v>0.36</v>
      </c>
      <c r="J39">
        <v>4</v>
      </c>
      <c r="K39">
        <v>0</v>
      </c>
      <c r="L39">
        <v>27.5</v>
      </c>
      <c r="M39">
        <v>4.9800000000000004</v>
      </c>
      <c r="N39">
        <v>40.520000000000003</v>
      </c>
      <c r="O39">
        <v>35.540000000000006</v>
      </c>
      <c r="P39">
        <v>30.2745</v>
      </c>
      <c r="Q39">
        <v>25.294499999999999</v>
      </c>
      <c r="R39">
        <v>10.245500000000003</v>
      </c>
      <c r="S39">
        <v>28.855908645406373</v>
      </c>
      <c r="T39">
        <v>15.5</v>
      </c>
      <c r="U39">
        <v>28.996649999999999</v>
      </c>
      <c r="V39">
        <v>31.681649999999998</v>
      </c>
      <c r="W39">
        <v>2.6850000000000005</v>
      </c>
      <c r="X39">
        <v>2685.0000000000009</v>
      </c>
      <c r="Y39">
        <v>31.538499999999999</v>
      </c>
      <c r="Z39">
        <v>2.5418500000000002</v>
      </c>
      <c r="AA39">
        <v>2541.8500000000004</v>
      </c>
      <c r="AB39">
        <v>143.15000000000055</v>
      </c>
      <c r="AC39">
        <v>1.5751266302286586</v>
      </c>
      <c r="AD39">
        <v>5.3182650363946742</v>
      </c>
      <c r="AE39">
        <f t="shared" si="4"/>
        <v>3.0845937211089107</v>
      </c>
      <c r="AF39">
        <f t="shared" si="29"/>
        <v>4.8586257135547574E-2</v>
      </c>
      <c r="AG39" s="2">
        <f t="shared" si="30"/>
        <v>1.2146564283886894</v>
      </c>
      <c r="AH39">
        <v>15</v>
      </c>
      <c r="AI39">
        <f>AF39-AF40</f>
        <v>7.7230621049192497E-3</v>
      </c>
      <c r="AJ39">
        <f t="shared" si="32"/>
        <v>5.1487080699461659E-4</v>
      </c>
    </row>
    <row r="40" spans="1:36" x14ac:dyDescent="0.2">
      <c r="A40" t="s">
        <v>43</v>
      </c>
      <c r="B40">
        <v>2014</v>
      </c>
      <c r="C40">
        <f t="shared" si="31"/>
        <v>11</v>
      </c>
      <c r="D40">
        <v>2</v>
      </c>
      <c r="E40">
        <v>1</v>
      </c>
      <c r="F40" t="s">
        <v>40</v>
      </c>
      <c r="G40">
        <v>10</v>
      </c>
      <c r="H40">
        <v>10</v>
      </c>
      <c r="I40">
        <v>1</v>
      </c>
      <c r="J40">
        <v>4</v>
      </c>
      <c r="K40">
        <v>0</v>
      </c>
      <c r="L40">
        <v>29.5</v>
      </c>
      <c r="M40">
        <v>5.03</v>
      </c>
      <c r="N40">
        <v>41.394000000000005</v>
      </c>
      <c r="O40">
        <v>36.364000000000004</v>
      </c>
      <c r="P40">
        <v>31.616500000000002</v>
      </c>
      <c r="Q40">
        <v>26.586500000000001</v>
      </c>
      <c r="R40">
        <v>9.7775000000000016</v>
      </c>
      <c r="S40">
        <v>26.885909043659233</v>
      </c>
      <c r="T40">
        <v>11.5</v>
      </c>
      <c r="U40">
        <v>29.570550000000001</v>
      </c>
      <c r="V40">
        <v>33.342300000000002</v>
      </c>
      <c r="W40">
        <v>3.7717500000000008</v>
      </c>
      <c r="X40">
        <v>3771.7500000000009</v>
      </c>
      <c r="Y40">
        <v>33.173649999999995</v>
      </c>
      <c r="Z40">
        <v>3.6030999999999977</v>
      </c>
      <c r="AA40">
        <v>3603.0999999999976</v>
      </c>
      <c r="AB40">
        <v>168.65000000000305</v>
      </c>
      <c r="AC40">
        <v>1.5738633378678664</v>
      </c>
      <c r="AD40">
        <v>4.476486797831555</v>
      </c>
      <c r="AE40">
        <f t="shared" si="4"/>
        <v>2.5963623427423017</v>
      </c>
      <c r="AF40">
        <f t="shared" si="29"/>
        <v>4.0863195030628324E-2</v>
      </c>
      <c r="AG40" s="2">
        <f t="shared" si="30"/>
        <v>0.40863195030628324</v>
      </c>
      <c r="AH40">
        <v>10</v>
      </c>
      <c r="AI40">
        <f>AF40</f>
        <v>4.0863195030628324E-2</v>
      </c>
      <c r="AJ40">
        <f t="shared" si="32"/>
        <v>4.0863195030628324E-3</v>
      </c>
    </row>
    <row r="41" spans="1:36" x14ac:dyDescent="0.2">
      <c r="A41" t="s">
        <v>43</v>
      </c>
      <c r="B41">
        <v>2014</v>
      </c>
      <c r="C41">
        <f t="shared" si="31"/>
        <v>11</v>
      </c>
      <c r="D41">
        <v>2</v>
      </c>
      <c r="E41">
        <v>2</v>
      </c>
      <c r="F41" s="3" t="s">
        <v>41</v>
      </c>
      <c r="G41">
        <v>50</v>
      </c>
      <c r="H41">
        <v>25</v>
      </c>
      <c r="I41">
        <v>0.5</v>
      </c>
      <c r="J41">
        <v>4</v>
      </c>
      <c r="K41">
        <v>0</v>
      </c>
      <c r="L41">
        <v>31.5</v>
      </c>
      <c r="M41">
        <v>4.9849999999999994</v>
      </c>
      <c r="N41">
        <v>41.088499999999996</v>
      </c>
      <c r="O41">
        <v>36.103499999999997</v>
      </c>
      <c r="P41">
        <v>32.519999999999996</v>
      </c>
      <c r="Q41">
        <v>27.535</v>
      </c>
      <c r="R41">
        <v>8.5685000000000002</v>
      </c>
      <c r="S41">
        <v>23.73610027123307</v>
      </c>
      <c r="T41">
        <v>6.5</v>
      </c>
      <c r="U41">
        <v>27.044600000000003</v>
      </c>
      <c r="V41">
        <v>29.898150000000001</v>
      </c>
      <c r="W41">
        <v>2.8535499999999985</v>
      </c>
      <c r="X41">
        <v>2853.5499999999984</v>
      </c>
      <c r="Y41">
        <v>29.80585</v>
      </c>
      <c r="Z41">
        <v>2.7612499999999986</v>
      </c>
      <c r="AA41">
        <v>2761.2499999999986</v>
      </c>
      <c r="AB41">
        <v>92.299999999999955</v>
      </c>
      <c r="AC41">
        <v>1.5449435584168767</v>
      </c>
      <c r="AD41">
        <v>3.0848442444795259</v>
      </c>
      <c r="AE41">
        <f t="shared" si="4"/>
        <v>1.7892096617981248</v>
      </c>
      <c r="AF41">
        <f t="shared" si="29"/>
        <v>2.7642279416522517E-2</v>
      </c>
      <c r="AG41" s="2">
        <f t="shared" si="30"/>
        <v>1.3821139708261259</v>
      </c>
      <c r="AH41">
        <v>25</v>
      </c>
      <c r="AI41">
        <f>AF41-(AI42+AI43)</f>
        <v>-2.426729934856342E-2</v>
      </c>
      <c r="AJ41">
        <f t="shared" si="32"/>
        <v>-9.7069197394253684E-4</v>
      </c>
    </row>
    <row r="42" spans="1:36" x14ac:dyDescent="0.2">
      <c r="A42" t="s">
        <v>43</v>
      </c>
      <c r="B42">
        <v>2014</v>
      </c>
      <c r="C42">
        <f t="shared" si="31"/>
        <v>11</v>
      </c>
      <c r="D42">
        <v>2</v>
      </c>
      <c r="E42">
        <v>2</v>
      </c>
      <c r="F42" t="s">
        <v>39</v>
      </c>
      <c r="G42">
        <v>25</v>
      </c>
      <c r="H42">
        <v>15</v>
      </c>
      <c r="I42">
        <v>0.6</v>
      </c>
      <c r="J42">
        <v>4</v>
      </c>
      <c r="K42">
        <v>0</v>
      </c>
      <c r="L42">
        <v>33.5</v>
      </c>
      <c r="M42">
        <v>4.9749999999999996</v>
      </c>
      <c r="N42">
        <v>37.304000000000002</v>
      </c>
      <c r="O42">
        <v>32.328999999999994</v>
      </c>
      <c r="P42">
        <v>28.5945</v>
      </c>
      <c r="Q42">
        <v>23.619499999999999</v>
      </c>
      <c r="R42">
        <v>8.7094999999999985</v>
      </c>
      <c r="S42">
        <v>26.936526390785325</v>
      </c>
      <c r="T42">
        <v>20.5</v>
      </c>
      <c r="U42">
        <v>29.8047</v>
      </c>
      <c r="V42">
        <v>32.8005</v>
      </c>
      <c r="W42">
        <v>2.9958000000000009</v>
      </c>
      <c r="X42">
        <v>2995.8000000000011</v>
      </c>
      <c r="Y42">
        <v>32.630400000000002</v>
      </c>
      <c r="Z42">
        <v>2.8257000000000012</v>
      </c>
      <c r="AA42">
        <v>2825.7000000000012</v>
      </c>
      <c r="AB42">
        <v>170.09999999999968</v>
      </c>
      <c r="AC42">
        <v>1.5751266302286586</v>
      </c>
      <c r="AD42">
        <v>5.682036733764976</v>
      </c>
      <c r="AE42">
        <f t="shared" si="4"/>
        <v>3.2955813055836858</v>
      </c>
      <c r="AF42">
        <f t="shared" si="29"/>
        <v>5.1909578765085937E-2</v>
      </c>
      <c r="AG42" s="2">
        <f t="shared" si="30"/>
        <v>1.2977394691271484</v>
      </c>
      <c r="AH42">
        <v>15</v>
      </c>
      <c r="AI42">
        <f>AF42-AF43</f>
        <v>-8.6220192471970075E-3</v>
      </c>
      <c r="AJ42">
        <f t="shared" si="32"/>
        <v>-5.7480128314646721E-4</v>
      </c>
    </row>
    <row r="43" spans="1:36" x14ac:dyDescent="0.2">
      <c r="A43" t="s">
        <v>43</v>
      </c>
      <c r="B43">
        <v>2014</v>
      </c>
      <c r="C43">
        <f t="shared" si="31"/>
        <v>11</v>
      </c>
      <c r="D43">
        <v>2</v>
      </c>
      <c r="E43">
        <v>2</v>
      </c>
      <c r="F43" t="s">
        <v>40</v>
      </c>
      <c r="G43">
        <v>10</v>
      </c>
      <c r="H43">
        <v>10</v>
      </c>
      <c r="I43">
        <v>1</v>
      </c>
      <c r="J43">
        <v>4</v>
      </c>
      <c r="K43">
        <v>0</v>
      </c>
      <c r="L43">
        <v>35.5</v>
      </c>
      <c r="M43">
        <v>5.0600000000000005</v>
      </c>
      <c r="N43">
        <v>39.467500000000001</v>
      </c>
      <c r="O43">
        <v>34.407499999999999</v>
      </c>
      <c r="P43">
        <v>29.176499999999997</v>
      </c>
      <c r="Q43">
        <v>24.116499999999998</v>
      </c>
      <c r="R43">
        <v>10.291000000000002</v>
      </c>
      <c r="S43">
        <v>29.960112242430647</v>
      </c>
      <c r="T43">
        <v>11</v>
      </c>
      <c r="U43">
        <v>26.31325</v>
      </c>
      <c r="V43">
        <v>29.920299999999997</v>
      </c>
      <c r="W43">
        <v>3.6070499999999992</v>
      </c>
      <c r="X43">
        <v>3607.0499999999993</v>
      </c>
      <c r="Y43">
        <v>29.681449999999998</v>
      </c>
      <c r="Z43">
        <v>3.3681999999999999</v>
      </c>
      <c r="AA43">
        <v>3368.2</v>
      </c>
      <c r="AB43">
        <v>238.84999999999945</v>
      </c>
      <c r="AC43">
        <v>1.5738633378678664</v>
      </c>
      <c r="AD43">
        <v>6.6311236590905631</v>
      </c>
      <c r="AE43">
        <f t="shared" si="4"/>
        <v>3.8460517222725263</v>
      </c>
      <c r="AF43">
        <f t="shared" si="29"/>
        <v>6.0531598012282944E-2</v>
      </c>
      <c r="AG43" s="2">
        <f t="shared" si="30"/>
        <v>0.60531598012282939</v>
      </c>
      <c r="AH43">
        <v>10</v>
      </c>
      <c r="AI43">
        <f>AF43</f>
        <v>6.0531598012282944E-2</v>
      </c>
      <c r="AJ43">
        <f t="shared" si="32"/>
        <v>6.0531598012282944E-3</v>
      </c>
    </row>
    <row r="44" spans="1:36" x14ac:dyDescent="0.2">
      <c r="A44" t="s">
        <v>43</v>
      </c>
      <c r="B44">
        <v>2014</v>
      </c>
      <c r="C44">
        <f t="shared" si="31"/>
        <v>11</v>
      </c>
      <c r="D44">
        <v>2</v>
      </c>
      <c r="E44">
        <v>3</v>
      </c>
      <c r="F44" t="s">
        <v>41</v>
      </c>
      <c r="G44">
        <v>40</v>
      </c>
      <c r="H44">
        <v>15</v>
      </c>
      <c r="I44">
        <v>0.375</v>
      </c>
      <c r="J44">
        <v>4</v>
      </c>
      <c r="K44">
        <v>0</v>
      </c>
      <c r="L44">
        <v>37.5</v>
      </c>
      <c r="M44">
        <v>5.085</v>
      </c>
      <c r="N44">
        <v>35.634</v>
      </c>
      <c r="O44">
        <v>30.548999999999999</v>
      </c>
      <c r="P44">
        <v>27.603999999999999</v>
      </c>
      <c r="Q44">
        <v>22.518999999999998</v>
      </c>
      <c r="R44">
        <v>8.0300000000000011</v>
      </c>
      <c r="S44">
        <v>26.287475953981502</v>
      </c>
      <c r="T44">
        <v>8.5</v>
      </c>
      <c r="U44">
        <v>28.383099999999999</v>
      </c>
      <c r="V44">
        <v>31.561450000000001</v>
      </c>
      <c r="W44">
        <v>3.17835</v>
      </c>
      <c r="X44">
        <v>3178.35</v>
      </c>
      <c r="Y44">
        <v>31.373800000000003</v>
      </c>
      <c r="Z44">
        <v>2.9907000000000004</v>
      </c>
      <c r="AA44">
        <v>2990.7000000000007</v>
      </c>
      <c r="AB44">
        <v>187.64999999999941</v>
      </c>
      <c r="AC44">
        <v>1.5449435584168767</v>
      </c>
      <c r="AD44">
        <v>5.903562911516973</v>
      </c>
      <c r="AE44">
        <f t="shared" si="4"/>
        <v>3.424066488679844</v>
      </c>
      <c r="AF44">
        <f t="shared" si="29"/>
        <v>5.2899894652770181E-2</v>
      </c>
      <c r="AG44" s="2">
        <f t="shared" si="30"/>
        <v>2.1159957861108074</v>
      </c>
      <c r="AH44">
        <v>25</v>
      </c>
      <c r="AI44">
        <f>AF44-(AI45+AI46)</f>
        <v>4.6760761866549011E-3</v>
      </c>
      <c r="AJ44">
        <f t="shared" si="32"/>
        <v>1.8704304746619603E-4</v>
      </c>
    </row>
    <row r="45" spans="1:36" x14ac:dyDescent="0.2">
      <c r="A45" t="s">
        <v>43</v>
      </c>
      <c r="B45">
        <v>2014</v>
      </c>
      <c r="C45">
        <f t="shared" si="31"/>
        <v>11</v>
      </c>
      <c r="D45">
        <v>2</v>
      </c>
      <c r="E45">
        <v>3</v>
      </c>
      <c r="F45" t="s">
        <v>39</v>
      </c>
      <c r="G45">
        <v>25</v>
      </c>
      <c r="H45">
        <v>11</v>
      </c>
      <c r="I45">
        <v>0.44</v>
      </c>
      <c r="J45">
        <v>4</v>
      </c>
      <c r="K45">
        <v>0</v>
      </c>
      <c r="L45">
        <v>39.5</v>
      </c>
      <c r="M45">
        <v>5.1349999999999998</v>
      </c>
      <c r="N45">
        <v>38.344000000000001</v>
      </c>
      <c r="O45">
        <v>33.209000000000003</v>
      </c>
      <c r="P45">
        <v>29.087</v>
      </c>
      <c r="Q45">
        <v>23.951999999999998</v>
      </c>
      <c r="R45">
        <v>9.2570000000000014</v>
      </c>
      <c r="S45">
        <v>27.86147490767344</v>
      </c>
      <c r="T45">
        <v>8.5</v>
      </c>
      <c r="U45">
        <v>27.914549999999998</v>
      </c>
      <c r="V45">
        <v>31.487099999999998</v>
      </c>
      <c r="W45">
        <v>3.5725499999999997</v>
      </c>
      <c r="X45">
        <v>3572.5499999999997</v>
      </c>
      <c r="Y45">
        <v>31.2987</v>
      </c>
      <c r="Z45">
        <v>3.38415</v>
      </c>
      <c r="AA45">
        <v>3384.1499999999996</v>
      </c>
      <c r="AB45">
        <v>188.39999999999986</v>
      </c>
      <c r="AC45">
        <v>1.5751266302286586</v>
      </c>
      <c r="AD45">
        <v>5.2785924001983595</v>
      </c>
      <c r="AE45">
        <f t="shared" si="4"/>
        <v>3.0615835921150483</v>
      </c>
      <c r="AF45">
        <f t="shared" si="29"/>
        <v>4.822381846611528E-2</v>
      </c>
      <c r="AG45" s="2">
        <f t="shared" si="30"/>
        <v>1.2055954616528819</v>
      </c>
      <c r="AH45">
        <v>15</v>
      </c>
      <c r="AI45">
        <f t="shared" ref="AI45" si="33">AF45-AF46</f>
        <v>-1.4877828570913632E-3</v>
      </c>
      <c r="AJ45">
        <f t="shared" si="32"/>
        <v>-9.9185523806090875E-5</v>
      </c>
    </row>
    <row r="46" spans="1:36" x14ac:dyDescent="0.2">
      <c r="A46" t="s">
        <v>43</v>
      </c>
      <c r="B46">
        <v>2014</v>
      </c>
      <c r="C46">
        <f t="shared" si="31"/>
        <v>11</v>
      </c>
      <c r="D46">
        <v>2</v>
      </c>
      <c r="E46">
        <v>3</v>
      </c>
      <c r="F46" t="s">
        <v>40</v>
      </c>
      <c r="G46">
        <v>10</v>
      </c>
      <c r="H46">
        <v>10</v>
      </c>
      <c r="I46">
        <v>1</v>
      </c>
      <c r="J46">
        <v>4</v>
      </c>
      <c r="K46">
        <v>0</v>
      </c>
      <c r="L46">
        <v>41.5</v>
      </c>
      <c r="M46">
        <v>5.09</v>
      </c>
      <c r="N46">
        <v>38.408999999999999</v>
      </c>
      <c r="O46">
        <v>33.319000000000003</v>
      </c>
      <c r="P46">
        <v>29.038</v>
      </c>
      <c r="Q46">
        <v>23.948</v>
      </c>
      <c r="R46">
        <v>9.3709999999999987</v>
      </c>
      <c r="S46">
        <v>28.125896308745613</v>
      </c>
      <c r="T46">
        <v>6.5</v>
      </c>
      <c r="U46">
        <v>24.757249999999999</v>
      </c>
      <c r="V46">
        <v>28.444200000000002</v>
      </c>
      <c r="W46">
        <v>3.6869500000000013</v>
      </c>
      <c r="X46">
        <v>3686.9500000000012</v>
      </c>
      <c r="Y46">
        <v>28.243499999999997</v>
      </c>
      <c r="Z46">
        <v>3.4862500000000001</v>
      </c>
      <c r="AA46">
        <v>3486.25</v>
      </c>
      <c r="AB46">
        <v>200.70000000000118</v>
      </c>
      <c r="AC46">
        <v>1.5738633378678664</v>
      </c>
      <c r="AD46">
        <v>5.4458132031918716</v>
      </c>
      <c r="AE46">
        <f t="shared" si="4"/>
        <v>3.1585716578512852</v>
      </c>
      <c r="AF46">
        <f t="shared" si="29"/>
        <v>4.9711601323206643E-2</v>
      </c>
      <c r="AG46" s="2">
        <f t="shared" si="30"/>
        <v>0.49711601323206644</v>
      </c>
      <c r="AH46">
        <v>10</v>
      </c>
      <c r="AI46">
        <f t="shared" ref="AI46" si="34">AF46</f>
        <v>4.9711601323206643E-2</v>
      </c>
      <c r="AJ46">
        <f t="shared" si="32"/>
        <v>4.9711601323206645E-3</v>
      </c>
    </row>
    <row r="47" spans="1:36" x14ac:dyDescent="0.2">
      <c r="A47" t="s">
        <v>44</v>
      </c>
      <c r="B47">
        <v>2005</v>
      </c>
      <c r="C47">
        <f t="shared" si="31"/>
        <v>20</v>
      </c>
      <c r="D47">
        <v>1</v>
      </c>
      <c r="E47">
        <v>1</v>
      </c>
      <c r="F47" t="s">
        <v>38</v>
      </c>
      <c r="G47">
        <v>50</v>
      </c>
      <c r="H47">
        <v>17.5</v>
      </c>
      <c r="I47">
        <f>H47/G47</f>
        <v>0.35</v>
      </c>
      <c r="J47">
        <v>4</v>
      </c>
      <c r="L47">
        <v>5</v>
      </c>
      <c r="M47">
        <v>1.825</v>
      </c>
      <c r="N47">
        <v>37.319000000000003</v>
      </c>
      <c r="O47">
        <f t="shared" ref="O47:O109" si="35">N47-M47</f>
        <v>35.494</v>
      </c>
      <c r="P47">
        <v>29.777999999999999</v>
      </c>
      <c r="Q47">
        <f t="shared" ref="Q47:Q109" si="36">P47-M47</f>
        <v>27.952999999999999</v>
      </c>
      <c r="R47">
        <f>O47-Q47</f>
        <v>7.5410000000000004</v>
      </c>
      <c r="S47">
        <f>((O47-Q47)/O47)*100</f>
        <v>21.245844368062208</v>
      </c>
      <c r="T47">
        <v>16</v>
      </c>
      <c r="U47">
        <v>28.4542</v>
      </c>
      <c r="V47">
        <v>32.271000000000001</v>
      </c>
      <c r="W47">
        <f>V47-U47</f>
        <v>3.8168000000000006</v>
      </c>
      <c r="X47">
        <f>W47*1000</f>
        <v>3816.8000000000006</v>
      </c>
      <c r="Y47">
        <v>32.136299999999999</v>
      </c>
      <c r="Z47">
        <f>Y47-U47</f>
        <v>3.6820999999999984</v>
      </c>
      <c r="AA47">
        <f t="shared" ref="AA47:AA108" si="37">Z47*1000</f>
        <v>3682.0999999999985</v>
      </c>
      <c r="AB47">
        <f>X47-AA47</f>
        <v>134.70000000000209</v>
      </c>
      <c r="AC47">
        <v>1.0202627626905951</v>
      </c>
      <c r="AD47">
        <f t="shared" ref="AD47:AD78" si="38">((X47-AA47)/X47)*100</f>
        <v>3.5291343533850892</v>
      </c>
      <c r="AE47">
        <f t="shared" si="4"/>
        <v>2.0468979249633517</v>
      </c>
      <c r="AF47">
        <f t="shared" si="29"/>
        <v>2.0883737318687558E-2</v>
      </c>
      <c r="AG47" s="2">
        <f t="shared" si="30"/>
        <v>1.0441868659343778</v>
      </c>
      <c r="AH47">
        <v>25</v>
      </c>
      <c r="AI47">
        <f>AF47-(AI48+AI49)</f>
        <v>3.5140091569734848E-3</v>
      </c>
      <c r="AJ47">
        <f>AI47/AH47</f>
        <v>1.4056036627893938E-4</v>
      </c>
    </row>
    <row r="48" spans="1:36" x14ac:dyDescent="0.2">
      <c r="A48" t="s">
        <v>44</v>
      </c>
      <c r="B48">
        <v>2005</v>
      </c>
      <c r="C48">
        <f t="shared" si="31"/>
        <v>20</v>
      </c>
      <c r="D48">
        <v>1</v>
      </c>
      <c r="E48">
        <v>1</v>
      </c>
      <c r="F48" t="s">
        <v>39</v>
      </c>
      <c r="G48">
        <v>25</v>
      </c>
      <c r="H48">
        <v>9</v>
      </c>
      <c r="I48">
        <f t="shared" ref="I48:I100" si="39">H48/G48</f>
        <v>0.36</v>
      </c>
      <c r="J48">
        <v>4</v>
      </c>
      <c r="L48">
        <v>6</v>
      </c>
      <c r="M48">
        <v>1.796</v>
      </c>
      <c r="N48">
        <v>38.600999999999999</v>
      </c>
      <c r="O48">
        <f t="shared" si="35"/>
        <v>36.805</v>
      </c>
      <c r="P48">
        <v>30.643000000000001</v>
      </c>
      <c r="Q48">
        <f t="shared" si="36"/>
        <v>28.847000000000001</v>
      </c>
      <c r="R48">
        <f t="shared" ref="R48:R82" si="40">O48-Q48</f>
        <v>7.9579999999999984</v>
      </c>
      <c r="S48">
        <f t="shared" ref="S48:S82" si="41">((O48-Q48)/O48)*100</f>
        <v>21.622062219807088</v>
      </c>
      <c r="T48">
        <v>13</v>
      </c>
      <c r="U48">
        <v>22.195699999999999</v>
      </c>
      <c r="V48">
        <v>25.920300000000001</v>
      </c>
      <c r="W48">
        <f t="shared" ref="W48:W82" si="42">V48-U48</f>
        <v>3.7246000000000024</v>
      </c>
      <c r="X48">
        <f t="shared" ref="X48:X82" si="43">W48*1000</f>
        <v>3724.6000000000022</v>
      </c>
      <c r="Y48">
        <v>25.772500000000001</v>
      </c>
      <c r="Z48">
        <f t="shared" ref="Z48:Z82" si="44">Y48-U48</f>
        <v>3.5768000000000022</v>
      </c>
      <c r="AA48">
        <f t="shared" si="37"/>
        <v>3576.800000000002</v>
      </c>
      <c r="AB48">
        <f t="shared" ref="AB48:AB82" si="45">X48-AA48</f>
        <v>147.80000000000018</v>
      </c>
      <c r="AC48">
        <v>0.75469284577388129</v>
      </c>
      <c r="AD48">
        <f t="shared" si="38"/>
        <v>3.9682113515545319</v>
      </c>
      <c r="AE48">
        <f t="shared" si="4"/>
        <v>2.3015625839016285</v>
      </c>
      <c r="AF48">
        <f t="shared" si="29"/>
        <v>1.7369728161714074E-2</v>
      </c>
      <c r="AG48" s="2">
        <f t="shared" si="30"/>
        <v>0.43424320404285183</v>
      </c>
      <c r="AH48">
        <v>15</v>
      </c>
      <c r="AI48">
        <f>AF48-AF49</f>
        <v>-5.1121488121105181E-3</v>
      </c>
      <c r="AJ48">
        <f t="shared" ref="AJ48:AJ82" si="46">AI48/AH48</f>
        <v>-3.4080992080736788E-4</v>
      </c>
    </row>
    <row r="49" spans="1:37" x14ac:dyDescent="0.2">
      <c r="A49" t="s">
        <v>44</v>
      </c>
      <c r="B49">
        <v>2005</v>
      </c>
      <c r="C49">
        <f t="shared" si="31"/>
        <v>20</v>
      </c>
      <c r="D49">
        <v>1</v>
      </c>
      <c r="E49">
        <v>1</v>
      </c>
      <c r="F49" t="s">
        <v>40</v>
      </c>
      <c r="G49">
        <v>10</v>
      </c>
      <c r="H49">
        <v>4</v>
      </c>
      <c r="I49">
        <f t="shared" si="39"/>
        <v>0.4</v>
      </c>
      <c r="J49">
        <v>4</v>
      </c>
      <c r="L49">
        <v>7</v>
      </c>
      <c r="M49">
        <v>1.8149999999999999</v>
      </c>
      <c r="N49">
        <v>33.651000000000003</v>
      </c>
      <c r="O49">
        <f t="shared" si="35"/>
        <v>31.836000000000002</v>
      </c>
      <c r="P49">
        <v>26.782</v>
      </c>
      <c r="Q49">
        <f t="shared" si="36"/>
        <v>24.966999999999999</v>
      </c>
      <c r="R49">
        <f t="shared" si="40"/>
        <v>6.8690000000000033</v>
      </c>
      <c r="S49">
        <f t="shared" si="41"/>
        <v>21.576203040582996</v>
      </c>
      <c r="T49">
        <v>7</v>
      </c>
      <c r="U49">
        <v>27.256399999999999</v>
      </c>
      <c r="V49">
        <v>31.168399999999998</v>
      </c>
      <c r="W49">
        <f t="shared" si="42"/>
        <v>3.911999999999999</v>
      </c>
      <c r="X49">
        <f t="shared" si="43"/>
        <v>3911.9999999999991</v>
      </c>
      <c r="Y49">
        <v>31.0078</v>
      </c>
      <c r="Z49">
        <f t="shared" si="44"/>
        <v>3.7514000000000003</v>
      </c>
      <c r="AA49">
        <f t="shared" si="37"/>
        <v>3751.4</v>
      </c>
      <c r="AB49">
        <f t="shared" si="45"/>
        <v>160.599999999999</v>
      </c>
      <c r="AC49">
        <v>0.94418669989266912</v>
      </c>
      <c r="AD49">
        <f t="shared" si="38"/>
        <v>4.1053169734151078</v>
      </c>
      <c r="AE49">
        <f t="shared" si="4"/>
        <v>2.3810838445807625</v>
      </c>
      <c r="AF49">
        <f t="shared" si="29"/>
        <v>2.2481876973824592E-2</v>
      </c>
      <c r="AG49" s="2">
        <f t="shared" si="30"/>
        <v>0.22481876973824591</v>
      </c>
      <c r="AH49">
        <v>10</v>
      </c>
      <c r="AI49">
        <f>AF49</f>
        <v>2.2481876973824592E-2</v>
      </c>
      <c r="AJ49">
        <f t="shared" si="46"/>
        <v>2.2481876973824591E-3</v>
      </c>
    </row>
    <row r="50" spans="1:37" x14ac:dyDescent="0.2">
      <c r="A50" t="s">
        <v>44</v>
      </c>
      <c r="B50">
        <v>2005</v>
      </c>
      <c r="C50">
        <f t="shared" si="31"/>
        <v>20</v>
      </c>
      <c r="D50">
        <v>1</v>
      </c>
      <c r="E50">
        <v>2</v>
      </c>
      <c r="F50" s="3" t="s">
        <v>41</v>
      </c>
      <c r="G50">
        <v>50</v>
      </c>
      <c r="H50">
        <v>14.6</v>
      </c>
      <c r="I50">
        <f t="shared" si="39"/>
        <v>0.29199999999999998</v>
      </c>
      <c r="J50">
        <v>4</v>
      </c>
      <c r="L50">
        <v>8</v>
      </c>
      <c r="M50">
        <v>1.798</v>
      </c>
      <c r="N50">
        <v>33.741999999999997</v>
      </c>
      <c r="O50">
        <f t="shared" si="35"/>
        <v>31.943999999999996</v>
      </c>
      <c r="P50">
        <v>26.77</v>
      </c>
      <c r="Q50">
        <f t="shared" si="36"/>
        <v>24.972000000000001</v>
      </c>
      <c r="R50">
        <f t="shared" si="40"/>
        <v>6.9719999999999942</v>
      </c>
      <c r="S50">
        <f t="shared" si="41"/>
        <v>21.82569496619082</v>
      </c>
      <c r="T50">
        <v>20</v>
      </c>
      <c r="U50">
        <v>28.529299999999999</v>
      </c>
      <c r="V50">
        <v>31.868099999999998</v>
      </c>
      <c r="W50">
        <f t="shared" si="42"/>
        <v>3.3387999999999991</v>
      </c>
      <c r="X50">
        <f t="shared" si="43"/>
        <v>3338.7999999999993</v>
      </c>
      <c r="Y50">
        <v>31.743400000000001</v>
      </c>
      <c r="Z50">
        <f t="shared" si="44"/>
        <v>3.214100000000002</v>
      </c>
      <c r="AA50">
        <f t="shared" si="37"/>
        <v>3214.1000000000022</v>
      </c>
      <c r="AB50">
        <f t="shared" si="45"/>
        <v>124.69999999999709</v>
      </c>
      <c r="AC50">
        <v>1.0202627626905951</v>
      </c>
      <c r="AD50">
        <f t="shared" si="38"/>
        <v>3.7348748053191905</v>
      </c>
      <c r="AE50">
        <f t="shared" si="4"/>
        <v>2.1662273870851303</v>
      </c>
      <c r="AF50">
        <f t="shared" si="29"/>
        <v>2.2101211385635044E-2</v>
      </c>
      <c r="AG50" s="2">
        <f t="shared" si="30"/>
        <v>1.1050605692817521</v>
      </c>
      <c r="AH50">
        <v>25</v>
      </c>
      <c r="AI50">
        <f>AF50-(AI51+AI52)</f>
        <v>4.2692432882529552E-3</v>
      </c>
      <c r="AJ50">
        <f t="shared" si="46"/>
        <v>1.707697315301182E-4</v>
      </c>
    </row>
    <row r="51" spans="1:37" x14ac:dyDescent="0.2">
      <c r="A51" t="s">
        <v>44</v>
      </c>
      <c r="B51">
        <v>2005</v>
      </c>
      <c r="C51">
        <f t="shared" si="31"/>
        <v>20</v>
      </c>
      <c r="D51">
        <v>1</v>
      </c>
      <c r="E51">
        <v>2</v>
      </c>
      <c r="F51" t="s">
        <v>39</v>
      </c>
      <c r="G51">
        <v>25</v>
      </c>
      <c r="H51">
        <v>11</v>
      </c>
      <c r="I51">
        <f t="shared" si="39"/>
        <v>0.44</v>
      </c>
      <c r="J51">
        <v>4</v>
      </c>
      <c r="L51">
        <v>9</v>
      </c>
      <c r="M51">
        <v>1.7969999999999999</v>
      </c>
      <c r="N51">
        <v>32.979999999999997</v>
      </c>
      <c r="O51">
        <f t="shared" si="35"/>
        <v>31.182999999999996</v>
      </c>
      <c r="P51">
        <v>26.405999999999999</v>
      </c>
      <c r="Q51">
        <f t="shared" si="36"/>
        <v>24.608999999999998</v>
      </c>
      <c r="R51">
        <f t="shared" si="40"/>
        <v>6.5739999999999981</v>
      </c>
      <c r="S51">
        <f t="shared" si="41"/>
        <v>21.081999807587465</v>
      </c>
      <c r="T51">
        <v>17</v>
      </c>
      <c r="U51">
        <v>28.977</v>
      </c>
      <c r="V51">
        <v>31.952100000000002</v>
      </c>
      <c r="W51">
        <f t="shared" si="42"/>
        <v>2.9751000000000012</v>
      </c>
      <c r="X51">
        <f t="shared" si="43"/>
        <v>2975.1000000000013</v>
      </c>
      <c r="Y51">
        <v>31.8309</v>
      </c>
      <c r="Z51">
        <f t="shared" si="44"/>
        <v>2.8538999999999994</v>
      </c>
      <c r="AA51">
        <f t="shared" si="37"/>
        <v>2853.8999999999996</v>
      </c>
      <c r="AB51">
        <f t="shared" si="45"/>
        <v>121.20000000000164</v>
      </c>
      <c r="AC51">
        <v>0.75469284577388129</v>
      </c>
      <c r="AD51">
        <f t="shared" si="38"/>
        <v>4.073812644953164</v>
      </c>
      <c r="AE51">
        <f t="shared" si="4"/>
        <v>2.3628113340728349</v>
      </c>
      <c r="AF51">
        <f t="shared" si="29"/>
        <v>1.7831968097382089E-2</v>
      </c>
      <c r="AG51" s="2">
        <f t="shared" si="30"/>
        <v>0.44579920243455223</v>
      </c>
      <c r="AH51">
        <v>15</v>
      </c>
      <c r="AI51">
        <f>AF51-AF52</f>
        <v>-5.2044499051040784E-3</v>
      </c>
      <c r="AJ51">
        <f t="shared" si="46"/>
        <v>-3.4696332700693855E-4</v>
      </c>
    </row>
    <row r="52" spans="1:37" x14ac:dyDescent="0.2">
      <c r="A52" t="s">
        <v>44</v>
      </c>
      <c r="B52">
        <v>2005</v>
      </c>
      <c r="C52">
        <f t="shared" si="31"/>
        <v>20</v>
      </c>
      <c r="D52">
        <v>1</v>
      </c>
      <c r="E52">
        <v>2</v>
      </c>
      <c r="F52" t="s">
        <v>40</v>
      </c>
      <c r="G52">
        <v>10</v>
      </c>
      <c r="H52">
        <v>10</v>
      </c>
      <c r="I52">
        <f t="shared" si="39"/>
        <v>1</v>
      </c>
      <c r="J52">
        <v>4</v>
      </c>
      <c r="L52">
        <v>10</v>
      </c>
      <c r="M52">
        <v>1.79</v>
      </c>
      <c r="N52">
        <v>32.427</v>
      </c>
      <c r="O52">
        <f t="shared" si="35"/>
        <v>30.637</v>
      </c>
      <c r="P52">
        <v>25.106000000000002</v>
      </c>
      <c r="Q52">
        <f t="shared" si="36"/>
        <v>23.316000000000003</v>
      </c>
      <c r="R52">
        <f t="shared" si="40"/>
        <v>7.320999999999998</v>
      </c>
      <c r="S52">
        <f t="shared" si="41"/>
        <v>23.895942814244208</v>
      </c>
      <c r="T52">
        <v>2</v>
      </c>
      <c r="U52">
        <v>26.6465</v>
      </c>
      <c r="V52">
        <v>29.8201</v>
      </c>
      <c r="W52">
        <f t="shared" si="42"/>
        <v>3.1736000000000004</v>
      </c>
      <c r="X52">
        <f t="shared" si="43"/>
        <v>3173.6000000000004</v>
      </c>
      <c r="Y52">
        <v>29.686599999999999</v>
      </c>
      <c r="Z52">
        <f t="shared" si="44"/>
        <v>3.0400999999999989</v>
      </c>
      <c r="AA52">
        <f t="shared" si="37"/>
        <v>3040.099999999999</v>
      </c>
      <c r="AB52">
        <f t="shared" si="45"/>
        <v>133.50000000000136</v>
      </c>
      <c r="AC52">
        <v>0.94418669989266912</v>
      </c>
      <c r="AD52">
        <f t="shared" si="38"/>
        <v>4.2065792790522227</v>
      </c>
      <c r="AE52">
        <f t="shared" si="4"/>
        <v>2.4398159818502889</v>
      </c>
      <c r="AF52">
        <f t="shared" si="29"/>
        <v>2.3036418002486167E-2</v>
      </c>
      <c r="AG52" s="2">
        <f t="shared" si="30"/>
        <v>0.23036418002486167</v>
      </c>
      <c r="AH52">
        <v>10</v>
      </c>
      <c r="AI52">
        <f>AF52</f>
        <v>2.3036418002486167E-2</v>
      </c>
      <c r="AJ52">
        <f t="shared" si="46"/>
        <v>2.3036418002486169E-3</v>
      </c>
    </row>
    <row r="53" spans="1:37" x14ac:dyDescent="0.2">
      <c r="A53" t="s">
        <v>44</v>
      </c>
      <c r="B53">
        <v>2005</v>
      </c>
      <c r="C53">
        <f t="shared" si="31"/>
        <v>20</v>
      </c>
      <c r="D53">
        <v>1</v>
      </c>
      <c r="E53">
        <v>3</v>
      </c>
      <c r="F53" s="3" t="s">
        <v>41</v>
      </c>
      <c r="G53">
        <v>50</v>
      </c>
      <c r="H53">
        <v>17.2</v>
      </c>
      <c r="I53">
        <f t="shared" si="39"/>
        <v>0.34399999999999997</v>
      </c>
      <c r="J53">
        <v>4</v>
      </c>
      <c r="L53">
        <v>11</v>
      </c>
      <c r="M53">
        <v>1.823</v>
      </c>
      <c r="N53">
        <v>37.752000000000002</v>
      </c>
      <c r="O53">
        <f t="shared" si="35"/>
        <v>35.929000000000002</v>
      </c>
      <c r="P53">
        <v>29.843</v>
      </c>
      <c r="Q53">
        <f t="shared" si="36"/>
        <v>28.02</v>
      </c>
      <c r="R53">
        <f t="shared" si="40"/>
        <v>7.9090000000000025</v>
      </c>
      <c r="S53">
        <f t="shared" si="41"/>
        <v>22.012858693534476</v>
      </c>
      <c r="T53">
        <v>3</v>
      </c>
      <c r="U53">
        <v>28.9665</v>
      </c>
      <c r="V53">
        <v>31.523</v>
      </c>
      <c r="W53">
        <f t="shared" si="42"/>
        <v>2.5564999999999998</v>
      </c>
      <c r="X53">
        <f t="shared" si="43"/>
        <v>2556.5</v>
      </c>
      <c r="Y53">
        <v>31.42</v>
      </c>
      <c r="Z53">
        <f t="shared" si="44"/>
        <v>2.4535000000000018</v>
      </c>
      <c r="AA53">
        <f t="shared" si="37"/>
        <v>2453.5000000000018</v>
      </c>
      <c r="AB53">
        <f t="shared" si="45"/>
        <v>102.99999999999818</v>
      </c>
      <c r="AC53">
        <v>1.0202627626905951</v>
      </c>
      <c r="AD53">
        <f t="shared" si="38"/>
        <v>4.0289458243691838</v>
      </c>
      <c r="AE53">
        <f t="shared" si="4"/>
        <v>2.3367885781341267</v>
      </c>
      <c r="AF53">
        <f t="shared" si="29"/>
        <v>2.3841383705509516E-2</v>
      </c>
      <c r="AG53" s="2">
        <f t="shared" si="30"/>
        <v>1.1920691852754759</v>
      </c>
      <c r="AH53">
        <v>25</v>
      </c>
      <c r="AI53">
        <f>AF53-(AI54+AI55)</f>
        <v>5.4705127024703461E-3</v>
      </c>
      <c r="AJ53">
        <f t="shared" si="46"/>
        <v>2.1882050809881383E-4</v>
      </c>
    </row>
    <row r="54" spans="1:37" x14ac:dyDescent="0.2">
      <c r="A54" t="s">
        <v>44</v>
      </c>
      <c r="B54">
        <v>2005</v>
      </c>
      <c r="C54">
        <f t="shared" si="31"/>
        <v>20</v>
      </c>
      <c r="D54">
        <v>1</v>
      </c>
      <c r="E54">
        <v>3</v>
      </c>
      <c r="F54" t="s">
        <v>39</v>
      </c>
      <c r="G54">
        <v>25</v>
      </c>
      <c r="H54">
        <v>12.5</v>
      </c>
      <c r="I54">
        <f t="shared" si="39"/>
        <v>0.5</v>
      </c>
      <c r="J54">
        <v>4</v>
      </c>
      <c r="L54">
        <v>12</v>
      </c>
      <c r="M54">
        <v>1.8460000000000001</v>
      </c>
      <c r="N54">
        <v>35.722999999999999</v>
      </c>
      <c r="O54">
        <f t="shared" si="35"/>
        <v>33.876999999999995</v>
      </c>
      <c r="P54">
        <v>27.696000000000002</v>
      </c>
      <c r="Q54">
        <f t="shared" si="36"/>
        <v>25.85</v>
      </c>
      <c r="R54">
        <f t="shared" si="40"/>
        <v>8.0269999999999939</v>
      </c>
      <c r="S54">
        <f t="shared" si="41"/>
        <v>23.694542019659341</v>
      </c>
      <c r="T54">
        <v>11</v>
      </c>
      <c r="U54">
        <v>27.443899999999999</v>
      </c>
      <c r="V54">
        <v>30.679600000000001</v>
      </c>
      <c r="W54">
        <f t="shared" si="42"/>
        <v>3.2357000000000014</v>
      </c>
      <c r="X54">
        <f t="shared" si="43"/>
        <v>3235.7000000000012</v>
      </c>
      <c r="Y54">
        <v>30.543800000000001</v>
      </c>
      <c r="Z54">
        <f t="shared" si="44"/>
        <v>3.0999000000000017</v>
      </c>
      <c r="AA54">
        <f t="shared" si="37"/>
        <v>3099.9000000000015</v>
      </c>
      <c r="AB54">
        <f t="shared" si="45"/>
        <v>135.79999999999973</v>
      </c>
      <c r="AC54">
        <v>0.75469284577388129</v>
      </c>
      <c r="AD54">
        <f t="shared" si="38"/>
        <v>4.1969280217572607</v>
      </c>
      <c r="AE54">
        <f t="shared" si="4"/>
        <v>2.4342182526192109</v>
      </c>
      <c r="AF54">
        <f t="shared" ref="AF54:AF85" si="47">AC54*(AE54/100)</f>
        <v>1.837087100303917E-2</v>
      </c>
      <c r="AG54" s="2">
        <f t="shared" si="30"/>
        <v>0.45927177507597927</v>
      </c>
      <c r="AH54">
        <v>15</v>
      </c>
      <c r="AI54">
        <f>AF54-AF55</f>
        <v>-2.6532796444675641E-3</v>
      </c>
      <c r="AJ54">
        <f t="shared" si="46"/>
        <v>-1.7688530963117093E-4</v>
      </c>
      <c r="AK54" t="s">
        <v>45</v>
      </c>
    </row>
    <row r="55" spans="1:37" x14ac:dyDescent="0.2">
      <c r="A55" t="s">
        <v>44</v>
      </c>
      <c r="B55">
        <v>2005</v>
      </c>
      <c r="C55">
        <f t="shared" si="31"/>
        <v>20</v>
      </c>
      <c r="D55">
        <v>1</v>
      </c>
      <c r="E55">
        <v>3</v>
      </c>
      <c r="F55" t="s">
        <v>40</v>
      </c>
      <c r="G55">
        <v>10</v>
      </c>
      <c r="H55">
        <v>9.5</v>
      </c>
      <c r="I55">
        <f t="shared" si="39"/>
        <v>0.95</v>
      </c>
      <c r="J55">
        <v>4</v>
      </c>
      <c r="L55">
        <v>13</v>
      </c>
      <c r="M55">
        <v>1.837</v>
      </c>
      <c r="N55">
        <v>32.470999999999997</v>
      </c>
      <c r="O55">
        <f t="shared" si="35"/>
        <v>30.633999999999997</v>
      </c>
      <c r="P55">
        <v>25.896000000000001</v>
      </c>
      <c r="Q55">
        <f t="shared" si="36"/>
        <v>24.059000000000001</v>
      </c>
      <c r="R55">
        <f t="shared" si="40"/>
        <v>6.5749999999999957</v>
      </c>
      <c r="S55">
        <f t="shared" si="41"/>
        <v>21.463080237644437</v>
      </c>
      <c r="T55">
        <v>10</v>
      </c>
      <c r="U55">
        <v>28.571300000000001</v>
      </c>
      <c r="V55">
        <v>31.910599999999999</v>
      </c>
      <c r="W55">
        <f t="shared" si="42"/>
        <v>3.3392999999999979</v>
      </c>
      <c r="X55">
        <f t="shared" si="43"/>
        <v>3339.2999999999979</v>
      </c>
      <c r="Y55">
        <v>31.782399999999999</v>
      </c>
      <c r="Z55">
        <f t="shared" si="44"/>
        <v>3.2110999999999983</v>
      </c>
      <c r="AA55">
        <f t="shared" si="37"/>
        <v>3211.0999999999981</v>
      </c>
      <c r="AB55">
        <f t="shared" si="45"/>
        <v>128.19999999999982</v>
      </c>
      <c r="AC55">
        <v>0.94418669989266912</v>
      </c>
      <c r="AD55">
        <f t="shared" si="38"/>
        <v>3.8391279609498965</v>
      </c>
      <c r="AE55">
        <f t="shared" si="4"/>
        <v>2.2266942173509396</v>
      </c>
      <c r="AF55">
        <f t="shared" si="47"/>
        <v>2.1024150647506734E-2</v>
      </c>
      <c r="AG55" s="2">
        <f t="shared" si="30"/>
        <v>0.21024150647506734</v>
      </c>
      <c r="AH55">
        <v>10</v>
      </c>
      <c r="AI55">
        <f>AF55</f>
        <v>2.1024150647506734E-2</v>
      </c>
      <c r="AJ55">
        <f t="shared" si="46"/>
        <v>2.1024150647506734E-3</v>
      </c>
    </row>
    <row r="56" spans="1:37" x14ac:dyDescent="0.2">
      <c r="A56" t="s">
        <v>44</v>
      </c>
      <c r="B56">
        <v>2005</v>
      </c>
      <c r="C56">
        <f t="shared" si="31"/>
        <v>20</v>
      </c>
      <c r="D56">
        <v>2</v>
      </c>
      <c r="E56">
        <v>1</v>
      </c>
      <c r="F56" s="3" t="s">
        <v>41</v>
      </c>
      <c r="G56">
        <v>50</v>
      </c>
      <c r="H56">
        <v>15.5</v>
      </c>
      <c r="I56">
        <f t="shared" si="39"/>
        <v>0.31</v>
      </c>
      <c r="J56">
        <v>4</v>
      </c>
      <c r="L56">
        <v>14</v>
      </c>
      <c r="M56">
        <v>1.8340000000000001</v>
      </c>
      <c r="N56">
        <v>33.982999999999997</v>
      </c>
      <c r="O56">
        <f t="shared" si="35"/>
        <v>32.148999999999994</v>
      </c>
      <c r="P56">
        <v>27.478999999999999</v>
      </c>
      <c r="Q56">
        <f t="shared" si="36"/>
        <v>25.645</v>
      </c>
      <c r="R56">
        <f t="shared" si="40"/>
        <v>6.5039999999999942</v>
      </c>
      <c r="S56">
        <f t="shared" si="41"/>
        <v>20.230800335935783</v>
      </c>
      <c r="T56">
        <v>18</v>
      </c>
      <c r="U56">
        <v>27.354700000000001</v>
      </c>
      <c r="V56">
        <v>30.313199999999998</v>
      </c>
      <c r="W56">
        <f t="shared" si="42"/>
        <v>2.9584999999999972</v>
      </c>
      <c r="X56">
        <f t="shared" si="43"/>
        <v>2958.4999999999973</v>
      </c>
      <c r="Y56">
        <v>30.1936</v>
      </c>
      <c r="Z56">
        <f t="shared" si="44"/>
        <v>2.8388999999999989</v>
      </c>
      <c r="AA56">
        <f t="shared" si="37"/>
        <v>2838.8999999999987</v>
      </c>
      <c r="AB56">
        <f t="shared" si="45"/>
        <v>119.59999999999854</v>
      </c>
      <c r="AC56">
        <v>1.0202627626905951</v>
      </c>
      <c r="AD56">
        <f t="shared" si="38"/>
        <v>4.0425891499070019</v>
      </c>
      <c r="AE56">
        <f t="shared" si="4"/>
        <v>2.3447017069460609</v>
      </c>
      <c r="AF56">
        <f t="shared" si="47"/>
        <v>2.3922118412141421E-2</v>
      </c>
      <c r="AG56" s="2">
        <f t="shared" si="30"/>
        <v>1.196105920607071</v>
      </c>
      <c r="AH56">
        <v>25</v>
      </c>
      <c r="AI56">
        <f>AF56-(AI57+AI58)</f>
        <v>3.8458872160331038E-3</v>
      </c>
      <c r="AJ56">
        <f t="shared" si="46"/>
        <v>1.5383548864132416E-4</v>
      </c>
    </row>
    <row r="57" spans="1:37" x14ac:dyDescent="0.2">
      <c r="A57" t="s">
        <v>44</v>
      </c>
      <c r="B57">
        <v>2005</v>
      </c>
      <c r="C57">
        <f t="shared" si="31"/>
        <v>20</v>
      </c>
      <c r="D57">
        <v>2</v>
      </c>
      <c r="E57">
        <v>1</v>
      </c>
      <c r="F57" t="s">
        <v>39</v>
      </c>
      <c r="G57">
        <v>25</v>
      </c>
      <c r="H57">
        <v>15.5</v>
      </c>
      <c r="I57">
        <f t="shared" si="39"/>
        <v>0.62</v>
      </c>
      <c r="J57">
        <v>4</v>
      </c>
      <c r="L57">
        <v>15</v>
      </c>
      <c r="M57">
        <v>1.8480000000000001</v>
      </c>
      <c r="N57">
        <v>35.012</v>
      </c>
      <c r="O57">
        <f t="shared" si="35"/>
        <v>33.164000000000001</v>
      </c>
      <c r="P57">
        <v>27.056000000000001</v>
      </c>
      <c r="Q57">
        <f t="shared" si="36"/>
        <v>25.208000000000002</v>
      </c>
      <c r="R57">
        <f t="shared" si="40"/>
        <v>7.9559999999999995</v>
      </c>
      <c r="S57">
        <f t="shared" si="41"/>
        <v>23.989868532143284</v>
      </c>
      <c r="T57">
        <v>6</v>
      </c>
      <c r="U57">
        <v>30.165400000000002</v>
      </c>
      <c r="V57">
        <v>33.3748</v>
      </c>
      <c r="W57">
        <f t="shared" si="42"/>
        <v>3.2093999999999987</v>
      </c>
      <c r="X57">
        <f t="shared" si="43"/>
        <v>3209.3999999999987</v>
      </c>
      <c r="Y57">
        <v>33.227600000000002</v>
      </c>
      <c r="Z57">
        <f t="shared" si="44"/>
        <v>3.0622000000000007</v>
      </c>
      <c r="AA57">
        <f t="shared" si="37"/>
        <v>3062.2000000000007</v>
      </c>
      <c r="AB57">
        <f t="shared" si="45"/>
        <v>147.199999999998</v>
      </c>
      <c r="AC57">
        <v>0.75469284577388129</v>
      </c>
      <c r="AD57">
        <f t="shared" si="38"/>
        <v>4.5865270767120974</v>
      </c>
      <c r="AE57">
        <f t="shared" si="4"/>
        <v>2.6601857044930162</v>
      </c>
      <c r="AF57">
        <f t="shared" si="47"/>
        <v>2.0076231196108317E-2</v>
      </c>
      <c r="AG57" s="2">
        <f t="shared" si="30"/>
        <v>0.5019057799027079</v>
      </c>
      <c r="AH57">
        <v>15</v>
      </c>
      <c r="AI57">
        <f>AF57-AF58</f>
        <v>-2.0058721517037317E-3</v>
      </c>
      <c r="AJ57">
        <f t="shared" si="46"/>
        <v>-1.3372481011358212E-4</v>
      </c>
    </row>
    <row r="58" spans="1:37" x14ac:dyDescent="0.2">
      <c r="A58" t="s">
        <v>44</v>
      </c>
      <c r="B58">
        <v>2005</v>
      </c>
      <c r="C58">
        <f t="shared" si="31"/>
        <v>20</v>
      </c>
      <c r="D58">
        <v>2</v>
      </c>
      <c r="E58">
        <v>1</v>
      </c>
      <c r="F58" t="s">
        <v>40</v>
      </c>
      <c r="G58">
        <v>10</v>
      </c>
      <c r="H58">
        <v>5</v>
      </c>
      <c r="I58">
        <f t="shared" si="39"/>
        <v>0.5</v>
      </c>
      <c r="J58">
        <v>4</v>
      </c>
      <c r="L58">
        <v>16</v>
      </c>
      <c r="M58">
        <v>1.8160000000000001</v>
      </c>
      <c r="N58">
        <v>32.570999999999998</v>
      </c>
      <c r="O58">
        <f t="shared" si="35"/>
        <v>30.754999999999999</v>
      </c>
      <c r="P58">
        <v>26.47</v>
      </c>
      <c r="Q58">
        <f t="shared" si="36"/>
        <v>24.654</v>
      </c>
      <c r="R58">
        <f t="shared" si="40"/>
        <v>6.1009999999999991</v>
      </c>
      <c r="S58">
        <f t="shared" si="41"/>
        <v>19.837424808974149</v>
      </c>
      <c r="T58">
        <v>19</v>
      </c>
      <c r="U58">
        <v>28.572700000000001</v>
      </c>
      <c r="V58">
        <v>32.744</v>
      </c>
      <c r="W58">
        <f t="shared" si="42"/>
        <v>4.1712999999999987</v>
      </c>
      <c r="X58">
        <f t="shared" si="43"/>
        <v>4171.2999999999984</v>
      </c>
      <c r="Y58">
        <v>32.575800000000001</v>
      </c>
      <c r="Z58">
        <f t="shared" si="44"/>
        <v>4.0030999999999999</v>
      </c>
      <c r="AA58">
        <f t="shared" si="37"/>
        <v>4003.1</v>
      </c>
      <c r="AB58">
        <f t="shared" si="45"/>
        <v>168.19999999999845</v>
      </c>
      <c r="AC58">
        <v>0.94418669989266912</v>
      </c>
      <c r="AD58">
        <f t="shared" si="38"/>
        <v>4.0323160645362002</v>
      </c>
      <c r="AE58">
        <f t="shared" si="4"/>
        <v>2.3387433174309957</v>
      </c>
      <c r="AF58">
        <f t="shared" si="47"/>
        <v>2.2082103347812049E-2</v>
      </c>
      <c r="AG58" s="2">
        <f t="shared" si="30"/>
        <v>0.22082103347812049</v>
      </c>
      <c r="AH58">
        <v>10</v>
      </c>
      <c r="AI58">
        <f>AF58</f>
        <v>2.2082103347812049E-2</v>
      </c>
      <c r="AJ58">
        <f t="shared" si="46"/>
        <v>2.2082103347812049E-3</v>
      </c>
      <c r="AK58" t="s">
        <v>46</v>
      </c>
    </row>
    <row r="59" spans="1:37" x14ac:dyDescent="0.2">
      <c r="A59" t="s">
        <v>44</v>
      </c>
      <c r="B59">
        <v>2005</v>
      </c>
      <c r="C59">
        <f t="shared" si="31"/>
        <v>20</v>
      </c>
      <c r="D59">
        <v>2</v>
      </c>
      <c r="E59">
        <v>2</v>
      </c>
      <c r="F59" s="3" t="s">
        <v>41</v>
      </c>
      <c r="G59">
        <v>50</v>
      </c>
      <c r="H59">
        <v>17.5</v>
      </c>
      <c r="I59">
        <f t="shared" si="39"/>
        <v>0.35</v>
      </c>
      <c r="J59">
        <v>4</v>
      </c>
      <c r="L59">
        <v>17</v>
      </c>
      <c r="M59">
        <v>1.823</v>
      </c>
      <c r="N59">
        <v>34.020000000000003</v>
      </c>
      <c r="O59">
        <f t="shared" si="35"/>
        <v>32.197000000000003</v>
      </c>
      <c r="P59">
        <v>26.945</v>
      </c>
      <c r="Q59">
        <f t="shared" si="36"/>
        <v>25.122</v>
      </c>
      <c r="R59">
        <f t="shared" si="40"/>
        <v>7.0750000000000028</v>
      </c>
      <c r="S59">
        <f t="shared" si="41"/>
        <v>21.974096965555802</v>
      </c>
      <c r="T59">
        <v>15</v>
      </c>
      <c r="U59">
        <v>27.838000000000001</v>
      </c>
      <c r="V59">
        <v>31.654900000000001</v>
      </c>
      <c r="W59">
        <f t="shared" si="42"/>
        <v>3.8169000000000004</v>
      </c>
      <c r="X59">
        <f t="shared" si="43"/>
        <v>3816.9000000000005</v>
      </c>
      <c r="Y59">
        <v>31.476600000000001</v>
      </c>
      <c r="Z59">
        <f t="shared" si="44"/>
        <v>3.6386000000000003</v>
      </c>
      <c r="AA59">
        <f t="shared" si="37"/>
        <v>3638.6000000000004</v>
      </c>
      <c r="AB59">
        <f t="shared" si="45"/>
        <v>178.30000000000018</v>
      </c>
      <c r="AC59">
        <v>1.0202627626905951</v>
      </c>
      <c r="AD59">
        <f t="shared" si="38"/>
        <v>4.6713301370221947</v>
      </c>
      <c r="AE59">
        <f t="shared" si="4"/>
        <v>2.7093714794728729</v>
      </c>
      <c r="AF59">
        <f t="shared" si="47"/>
        <v>2.7642708308020982E-2</v>
      </c>
      <c r="AG59" s="2">
        <f t="shared" si="30"/>
        <v>1.382135415401049</v>
      </c>
      <c r="AH59">
        <v>25</v>
      </c>
      <c r="AI59">
        <f>AF59-(AI60+AI61)</f>
        <v>9.4947316680562104E-3</v>
      </c>
      <c r="AJ59">
        <f t="shared" si="46"/>
        <v>3.7978926672224841E-4</v>
      </c>
    </row>
    <row r="60" spans="1:37" x14ac:dyDescent="0.2">
      <c r="A60" t="s">
        <v>44</v>
      </c>
      <c r="B60">
        <v>2005</v>
      </c>
      <c r="C60">
        <f t="shared" si="31"/>
        <v>20</v>
      </c>
      <c r="D60">
        <v>2</v>
      </c>
      <c r="E60">
        <v>2</v>
      </c>
      <c r="F60" t="s">
        <v>39</v>
      </c>
      <c r="G60">
        <v>25</v>
      </c>
      <c r="H60">
        <v>16</v>
      </c>
      <c r="I60">
        <f t="shared" si="39"/>
        <v>0.64</v>
      </c>
      <c r="J60">
        <v>4</v>
      </c>
      <c r="L60">
        <v>18</v>
      </c>
      <c r="M60">
        <v>1.8320000000000001</v>
      </c>
      <c r="N60">
        <v>33.478999999999999</v>
      </c>
      <c r="O60">
        <f t="shared" si="35"/>
        <v>31.646999999999998</v>
      </c>
      <c r="P60">
        <v>25.85</v>
      </c>
      <c r="Q60">
        <f t="shared" si="36"/>
        <v>24.018000000000001</v>
      </c>
      <c r="R60">
        <f t="shared" si="40"/>
        <v>7.6289999999999978</v>
      </c>
      <c r="S60">
        <f t="shared" si="41"/>
        <v>24.106550383922638</v>
      </c>
      <c r="T60">
        <v>21</v>
      </c>
      <c r="U60">
        <v>31.08</v>
      </c>
      <c r="V60">
        <v>33.701799999999999</v>
      </c>
      <c r="W60">
        <f t="shared" si="42"/>
        <v>2.6218000000000004</v>
      </c>
      <c r="X60">
        <f t="shared" si="43"/>
        <v>2621.8</v>
      </c>
      <c r="Y60">
        <v>33.5931</v>
      </c>
      <c r="Z60">
        <f t="shared" si="44"/>
        <v>2.5131000000000014</v>
      </c>
      <c r="AA60">
        <f t="shared" si="37"/>
        <v>2513.1000000000013</v>
      </c>
      <c r="AB60">
        <f t="shared" si="45"/>
        <v>108.69999999999891</v>
      </c>
      <c r="AC60">
        <v>0.75469284577388129</v>
      </c>
      <c r="AD60">
        <f t="shared" si="38"/>
        <v>4.146006560378324</v>
      </c>
      <c r="AE60">
        <f t="shared" si="4"/>
        <v>2.4046838050194279</v>
      </c>
      <c r="AF60">
        <f t="shared" si="47"/>
        <v>1.8147976639964772E-2</v>
      </c>
      <c r="AG60" s="2">
        <f t="shared" si="30"/>
        <v>0.45369941599911928</v>
      </c>
      <c r="AH60">
        <v>15</v>
      </c>
      <c r="AI60">
        <f>AF60-AF61</f>
        <v>-3.8385865129259428E-3</v>
      </c>
      <c r="AJ60">
        <f t="shared" si="46"/>
        <v>-2.5590576752839621E-4</v>
      </c>
    </row>
    <row r="61" spans="1:37" x14ac:dyDescent="0.2">
      <c r="A61" t="s">
        <v>44</v>
      </c>
      <c r="B61">
        <v>2005</v>
      </c>
      <c r="C61">
        <f t="shared" si="31"/>
        <v>20</v>
      </c>
      <c r="D61">
        <v>2</v>
      </c>
      <c r="E61">
        <v>2</v>
      </c>
      <c r="F61" t="s">
        <v>40</v>
      </c>
      <c r="G61">
        <v>10</v>
      </c>
      <c r="H61">
        <v>9</v>
      </c>
      <c r="I61">
        <f t="shared" si="39"/>
        <v>0.9</v>
      </c>
      <c r="J61">
        <v>5.2</v>
      </c>
      <c r="L61">
        <v>19</v>
      </c>
      <c r="M61">
        <v>1.83</v>
      </c>
      <c r="N61">
        <v>33.994</v>
      </c>
      <c r="O61">
        <f t="shared" si="35"/>
        <v>32.164000000000001</v>
      </c>
      <c r="P61">
        <v>27.936</v>
      </c>
      <c r="Q61">
        <f t="shared" si="36"/>
        <v>26.106000000000002</v>
      </c>
      <c r="R61">
        <f t="shared" si="40"/>
        <v>6.0579999999999998</v>
      </c>
      <c r="S61">
        <f t="shared" si="41"/>
        <v>18.834722049496332</v>
      </c>
      <c r="T61">
        <v>5</v>
      </c>
      <c r="U61">
        <v>22.166899999999998</v>
      </c>
      <c r="V61">
        <v>26.739899999999999</v>
      </c>
      <c r="W61">
        <f t="shared" si="42"/>
        <v>4.5730000000000004</v>
      </c>
      <c r="X61">
        <f t="shared" si="43"/>
        <v>4573</v>
      </c>
      <c r="Y61">
        <v>26.5563</v>
      </c>
      <c r="Z61">
        <f t="shared" si="44"/>
        <v>4.389400000000002</v>
      </c>
      <c r="AA61">
        <f t="shared" si="37"/>
        <v>4389.4000000000024</v>
      </c>
      <c r="AB61">
        <f t="shared" si="45"/>
        <v>183.59999999999764</v>
      </c>
      <c r="AC61">
        <v>0.94418669989266912</v>
      </c>
      <c r="AD61">
        <f t="shared" si="38"/>
        <v>4.0148698884757845</v>
      </c>
      <c r="AE61">
        <f t="shared" si="4"/>
        <v>2.3286245353159547</v>
      </c>
      <c r="AF61">
        <f t="shared" si="47"/>
        <v>2.1986563152890715E-2</v>
      </c>
      <c r="AG61" s="2">
        <f t="shared" ref="AG61:AG92" si="48">AF61*G61</f>
        <v>0.21986563152890715</v>
      </c>
      <c r="AH61">
        <v>10</v>
      </c>
      <c r="AI61">
        <f>AF61</f>
        <v>2.1986563152890715E-2</v>
      </c>
      <c r="AJ61">
        <f t="shared" si="46"/>
        <v>2.1986563152890715E-3</v>
      </c>
      <c r="AK61" t="s">
        <v>47</v>
      </c>
    </row>
    <row r="62" spans="1:37" x14ac:dyDescent="0.2">
      <c r="A62" t="s">
        <v>44</v>
      </c>
      <c r="B62">
        <v>2005</v>
      </c>
      <c r="C62">
        <f t="shared" si="31"/>
        <v>20</v>
      </c>
      <c r="D62">
        <v>2</v>
      </c>
      <c r="E62">
        <v>3</v>
      </c>
      <c r="F62" t="s">
        <v>41</v>
      </c>
      <c r="G62">
        <v>50</v>
      </c>
      <c r="H62">
        <v>19.3</v>
      </c>
      <c r="I62">
        <f t="shared" si="39"/>
        <v>0.38600000000000001</v>
      </c>
      <c r="J62">
        <v>4</v>
      </c>
      <c r="K62">
        <v>24.861999999999998</v>
      </c>
      <c r="L62">
        <v>20</v>
      </c>
      <c r="M62">
        <v>1.835</v>
      </c>
      <c r="N62">
        <v>33.909999999999997</v>
      </c>
      <c r="O62">
        <f t="shared" si="35"/>
        <v>32.074999999999996</v>
      </c>
      <c r="P62">
        <v>24.818999999999999</v>
      </c>
      <c r="Q62">
        <f t="shared" si="36"/>
        <v>22.983999999999998</v>
      </c>
      <c r="R62">
        <f t="shared" si="40"/>
        <v>9.0909999999999975</v>
      </c>
      <c r="S62">
        <f t="shared" si="41"/>
        <v>28.342946219797344</v>
      </c>
      <c r="T62">
        <v>1</v>
      </c>
      <c r="U62">
        <v>27.9679</v>
      </c>
      <c r="V62">
        <v>31.0623</v>
      </c>
      <c r="W62">
        <f t="shared" si="42"/>
        <v>3.0944000000000003</v>
      </c>
      <c r="X62">
        <f t="shared" si="43"/>
        <v>3094.4</v>
      </c>
      <c r="Y62">
        <v>30.893799999999999</v>
      </c>
      <c r="Z62">
        <f t="shared" si="44"/>
        <v>2.9258999999999986</v>
      </c>
      <c r="AA62">
        <f t="shared" si="37"/>
        <v>2925.8999999999987</v>
      </c>
      <c r="AB62">
        <f t="shared" si="45"/>
        <v>168.50000000000136</v>
      </c>
      <c r="AC62">
        <v>1.0202627626905951</v>
      </c>
      <c r="AD62">
        <f t="shared" si="38"/>
        <v>5.4453205791106951</v>
      </c>
      <c r="AE62">
        <f t="shared" si="4"/>
        <v>3.1582859358842028</v>
      </c>
      <c r="AF62">
        <f t="shared" si="47"/>
        <v>3.2222815343120687E-2</v>
      </c>
      <c r="AG62" s="2">
        <f t="shared" si="48"/>
        <v>1.6111407671560343</v>
      </c>
      <c r="AH62">
        <v>25</v>
      </c>
      <c r="AI62">
        <f>AF62-(AI63+AI64)</f>
        <v>7.1351350819976803E-3</v>
      </c>
      <c r="AJ62">
        <f t="shared" si="46"/>
        <v>2.8540540327990721E-4</v>
      </c>
    </row>
    <row r="63" spans="1:37" x14ac:dyDescent="0.2">
      <c r="A63" t="s">
        <v>44</v>
      </c>
      <c r="B63">
        <v>2005</v>
      </c>
      <c r="C63">
        <f t="shared" si="31"/>
        <v>20</v>
      </c>
      <c r="D63">
        <v>2</v>
      </c>
      <c r="E63">
        <v>3</v>
      </c>
      <c r="F63" t="s">
        <v>39</v>
      </c>
      <c r="G63">
        <v>25</v>
      </c>
      <c r="H63">
        <v>11.7</v>
      </c>
      <c r="I63">
        <f t="shared" si="39"/>
        <v>0.46799999999999997</v>
      </c>
      <c r="J63">
        <v>4</v>
      </c>
      <c r="L63">
        <v>21</v>
      </c>
      <c r="M63">
        <v>1.851</v>
      </c>
      <c r="N63">
        <v>31.852</v>
      </c>
      <c r="O63">
        <f t="shared" si="35"/>
        <v>30.001000000000001</v>
      </c>
      <c r="P63">
        <v>24.648</v>
      </c>
      <c r="Q63">
        <f t="shared" si="36"/>
        <v>22.797000000000001</v>
      </c>
      <c r="R63">
        <f t="shared" si="40"/>
        <v>7.2040000000000006</v>
      </c>
      <c r="S63">
        <f t="shared" si="41"/>
        <v>24.01253291556948</v>
      </c>
      <c r="T63">
        <v>14</v>
      </c>
      <c r="U63">
        <v>27.799800000000001</v>
      </c>
      <c r="V63">
        <v>30.734500000000001</v>
      </c>
      <c r="W63">
        <f t="shared" si="42"/>
        <v>2.9346999999999994</v>
      </c>
      <c r="X63">
        <f t="shared" si="43"/>
        <v>2934.6999999999994</v>
      </c>
      <c r="Y63">
        <v>30.566299999999998</v>
      </c>
      <c r="Z63">
        <f t="shared" si="44"/>
        <v>2.7664999999999971</v>
      </c>
      <c r="AA63">
        <f t="shared" si="37"/>
        <v>2766.4999999999973</v>
      </c>
      <c r="AB63">
        <f t="shared" si="45"/>
        <v>168.20000000000209</v>
      </c>
      <c r="AC63">
        <v>0.75469284577388129</v>
      </c>
      <c r="AD63">
        <f t="shared" si="38"/>
        <v>5.7314205881351459</v>
      </c>
      <c r="AE63">
        <f t="shared" si="4"/>
        <v>3.3242239411183845</v>
      </c>
      <c r="AF63">
        <f t="shared" si="47"/>
        <v>2.5087680261123006E-2</v>
      </c>
      <c r="AG63" s="2">
        <f t="shared" si="48"/>
        <v>0.62719200652807516</v>
      </c>
      <c r="AH63">
        <v>15</v>
      </c>
      <c r="AI63">
        <f t="shared" ref="AI63" si="49">AF63-AF64</f>
        <v>-4.7053550042895943E-3</v>
      </c>
      <c r="AJ63">
        <f t="shared" si="46"/>
        <v>-3.1369033361930627E-4</v>
      </c>
    </row>
    <row r="64" spans="1:37" x14ac:dyDescent="0.2">
      <c r="A64" t="s">
        <v>44</v>
      </c>
      <c r="B64">
        <v>2005</v>
      </c>
      <c r="C64">
        <f t="shared" si="31"/>
        <v>20</v>
      </c>
      <c r="D64">
        <v>2</v>
      </c>
      <c r="E64">
        <v>3</v>
      </c>
      <c r="F64" t="s">
        <v>40</v>
      </c>
      <c r="G64">
        <v>10</v>
      </c>
      <c r="H64">
        <v>9.5</v>
      </c>
      <c r="I64">
        <f t="shared" si="39"/>
        <v>0.95</v>
      </c>
      <c r="J64">
        <v>4</v>
      </c>
      <c r="L64">
        <v>22</v>
      </c>
      <c r="M64">
        <v>1.83</v>
      </c>
      <c r="N64">
        <v>33.115000000000002</v>
      </c>
      <c r="O64">
        <f t="shared" si="35"/>
        <v>31.285000000000004</v>
      </c>
      <c r="P64">
        <v>25.527000000000001</v>
      </c>
      <c r="Q64">
        <f t="shared" si="36"/>
        <v>23.697000000000003</v>
      </c>
      <c r="R64">
        <f t="shared" si="40"/>
        <v>7.588000000000001</v>
      </c>
      <c r="S64">
        <f t="shared" si="41"/>
        <v>24.254435032763304</v>
      </c>
      <c r="T64">
        <v>8</v>
      </c>
      <c r="U64">
        <v>27.346</v>
      </c>
      <c r="V64">
        <v>30.6693</v>
      </c>
      <c r="W64">
        <f t="shared" si="42"/>
        <v>3.3232999999999997</v>
      </c>
      <c r="X64">
        <f t="shared" si="43"/>
        <v>3323.2999999999997</v>
      </c>
      <c r="Y64">
        <v>30.488499999999998</v>
      </c>
      <c r="Z64">
        <f t="shared" si="44"/>
        <v>3.1424999999999983</v>
      </c>
      <c r="AA64">
        <f t="shared" si="37"/>
        <v>3142.4999999999982</v>
      </c>
      <c r="AB64">
        <f t="shared" si="45"/>
        <v>180.80000000000155</v>
      </c>
      <c r="AC64">
        <v>0.94418669989266912</v>
      </c>
      <c r="AD64">
        <f t="shared" si="38"/>
        <v>5.4403755303463894</v>
      </c>
      <c r="AE64">
        <f t="shared" si="4"/>
        <v>3.1554178076009056</v>
      </c>
      <c r="AF64">
        <f t="shared" si="47"/>
        <v>2.9793035265412601E-2</v>
      </c>
      <c r="AG64" s="2">
        <f t="shared" si="48"/>
        <v>0.29793035265412599</v>
      </c>
      <c r="AH64">
        <v>10</v>
      </c>
      <c r="AI64">
        <f t="shared" ref="AI64:AI82" si="50">AF64</f>
        <v>2.9793035265412601E-2</v>
      </c>
      <c r="AJ64">
        <f t="shared" si="46"/>
        <v>2.9793035265412602E-3</v>
      </c>
    </row>
    <row r="65" spans="1:37" x14ac:dyDescent="0.2">
      <c r="A65" t="s">
        <v>44</v>
      </c>
      <c r="B65">
        <v>2023</v>
      </c>
      <c r="C65">
        <f t="shared" si="31"/>
        <v>2</v>
      </c>
      <c r="D65">
        <v>3</v>
      </c>
      <c r="E65">
        <v>1</v>
      </c>
      <c r="F65" t="s">
        <v>41</v>
      </c>
      <c r="G65">
        <v>50</v>
      </c>
      <c r="H65">
        <v>14</v>
      </c>
      <c r="I65">
        <f t="shared" si="39"/>
        <v>0.28000000000000003</v>
      </c>
      <c r="J65">
        <v>4</v>
      </c>
      <c r="L65">
        <v>24</v>
      </c>
      <c r="M65">
        <v>1.8380000000000001</v>
      </c>
      <c r="N65">
        <v>34.206000000000003</v>
      </c>
      <c r="O65">
        <f t="shared" si="35"/>
        <v>32.368000000000002</v>
      </c>
      <c r="P65">
        <v>24.452000000000002</v>
      </c>
      <c r="Q65">
        <f t="shared" si="36"/>
        <v>22.614000000000001</v>
      </c>
      <c r="R65">
        <f>O65-Q65</f>
        <v>9.7540000000000013</v>
      </c>
      <c r="S65">
        <f>((O65-Q65)/O65)*100</f>
        <v>30.13470093919921</v>
      </c>
      <c r="T65">
        <v>3</v>
      </c>
      <c r="U65">
        <v>28.966699999999999</v>
      </c>
      <c r="V65">
        <v>31.771799999999999</v>
      </c>
      <c r="W65">
        <f>V65-U65</f>
        <v>2.8050999999999995</v>
      </c>
      <c r="X65">
        <f>W65*1000</f>
        <v>2805.0999999999995</v>
      </c>
      <c r="Y65">
        <v>31.621600000000001</v>
      </c>
      <c r="Z65">
        <f>Y65-U65</f>
        <v>2.6549000000000014</v>
      </c>
      <c r="AA65">
        <f>Z65*1000</f>
        <v>2654.9000000000015</v>
      </c>
      <c r="AB65">
        <f>X65-AA65</f>
        <v>150.199999999998</v>
      </c>
      <c r="AC65">
        <v>1.0202627626905951</v>
      </c>
      <c r="AD65">
        <f t="shared" si="38"/>
        <v>5.3545328152293337</v>
      </c>
      <c r="AE65">
        <f t="shared" si="4"/>
        <v>3.1056290328330132</v>
      </c>
      <c r="AF65">
        <f t="shared" si="47"/>
        <v>3.1685576569303306E-2</v>
      </c>
      <c r="AG65" s="2">
        <f t="shared" si="48"/>
        <v>1.5842788284651652</v>
      </c>
      <c r="AH65">
        <v>25</v>
      </c>
      <c r="AI65">
        <f t="shared" si="50"/>
        <v>3.1685576569303306E-2</v>
      </c>
      <c r="AJ65">
        <f t="shared" si="46"/>
        <v>1.2674230627721323E-3</v>
      </c>
    </row>
    <row r="66" spans="1:37" x14ac:dyDescent="0.2">
      <c r="A66" t="s">
        <v>44</v>
      </c>
      <c r="B66">
        <v>2023</v>
      </c>
      <c r="C66">
        <f t="shared" si="31"/>
        <v>2</v>
      </c>
      <c r="D66">
        <v>3</v>
      </c>
      <c r="E66">
        <v>1</v>
      </c>
      <c r="F66" t="s">
        <v>39</v>
      </c>
      <c r="G66">
        <v>25</v>
      </c>
      <c r="H66">
        <v>15.4</v>
      </c>
      <c r="I66">
        <f t="shared" si="39"/>
        <v>0.61599999999999999</v>
      </c>
      <c r="J66">
        <v>4</v>
      </c>
      <c r="L66">
        <v>23</v>
      </c>
      <c r="M66">
        <v>1.8240000000000001</v>
      </c>
      <c r="N66">
        <v>32.247</v>
      </c>
      <c r="O66">
        <f t="shared" si="35"/>
        <v>30.422999999999998</v>
      </c>
      <c r="P66">
        <v>23.81</v>
      </c>
      <c r="Q66">
        <f t="shared" si="36"/>
        <v>21.985999999999997</v>
      </c>
      <c r="R66">
        <f t="shared" si="40"/>
        <v>8.4370000000000012</v>
      </c>
      <c r="S66">
        <f t="shared" si="41"/>
        <v>27.732307793445756</v>
      </c>
      <c r="T66">
        <v>11</v>
      </c>
      <c r="U66">
        <v>27.441600000000001</v>
      </c>
      <c r="V66">
        <v>31.2515</v>
      </c>
      <c r="W66">
        <f t="shared" si="42"/>
        <v>3.809899999999999</v>
      </c>
      <c r="X66">
        <f t="shared" si="43"/>
        <v>3809.8999999999987</v>
      </c>
      <c r="Y66">
        <v>31.083400000000001</v>
      </c>
      <c r="Z66">
        <f t="shared" si="44"/>
        <v>3.6417999999999999</v>
      </c>
      <c r="AA66">
        <f t="shared" si="37"/>
        <v>3641.7999999999997</v>
      </c>
      <c r="AB66">
        <f t="shared" si="45"/>
        <v>168.099999999999</v>
      </c>
      <c r="AC66">
        <v>0.75469284577388129</v>
      </c>
      <c r="AD66">
        <f t="shared" si="38"/>
        <v>4.4121892963069644</v>
      </c>
      <c r="AE66">
        <f t="shared" si="4"/>
        <v>2.5590697918580392</v>
      </c>
      <c r="AF66">
        <f t="shared" si="47"/>
        <v>1.9313116637513176E-2</v>
      </c>
      <c r="AG66" s="2">
        <f t="shared" si="48"/>
        <v>0.48282791593782942</v>
      </c>
      <c r="AH66">
        <v>15</v>
      </c>
      <c r="AI66">
        <f t="shared" si="50"/>
        <v>1.9313116637513176E-2</v>
      </c>
      <c r="AJ66">
        <f t="shared" si="46"/>
        <v>1.2875411091675451E-3</v>
      </c>
    </row>
    <row r="67" spans="1:37" x14ac:dyDescent="0.2">
      <c r="A67" t="s">
        <v>44</v>
      </c>
      <c r="B67">
        <v>2023</v>
      </c>
      <c r="C67">
        <f t="shared" si="31"/>
        <v>2</v>
      </c>
      <c r="D67">
        <v>3</v>
      </c>
      <c r="E67">
        <v>1</v>
      </c>
      <c r="F67" t="s">
        <v>40</v>
      </c>
      <c r="G67">
        <v>10</v>
      </c>
      <c r="H67">
        <v>10</v>
      </c>
      <c r="I67">
        <f t="shared" si="39"/>
        <v>1</v>
      </c>
      <c r="J67">
        <v>5.2</v>
      </c>
      <c r="L67">
        <v>25</v>
      </c>
      <c r="M67">
        <v>1.829</v>
      </c>
      <c r="N67">
        <v>34.110999999999997</v>
      </c>
      <c r="O67">
        <f t="shared" si="35"/>
        <v>32.281999999999996</v>
      </c>
      <c r="P67">
        <v>24.652999999999999</v>
      </c>
      <c r="Q67">
        <f t="shared" si="36"/>
        <v>22.823999999999998</v>
      </c>
      <c r="R67">
        <f t="shared" si="40"/>
        <v>9.4579999999999984</v>
      </c>
      <c r="S67">
        <f t="shared" si="41"/>
        <v>29.298060838857566</v>
      </c>
      <c r="T67">
        <v>10</v>
      </c>
      <c r="U67">
        <v>28.569900000000001</v>
      </c>
      <c r="V67">
        <v>32.132399999999997</v>
      </c>
      <c r="W67">
        <f t="shared" si="42"/>
        <v>3.5624999999999964</v>
      </c>
      <c r="X67">
        <f t="shared" si="43"/>
        <v>3562.4999999999964</v>
      </c>
      <c r="Y67">
        <v>31.986000000000001</v>
      </c>
      <c r="Z67">
        <f t="shared" si="44"/>
        <v>3.4161000000000001</v>
      </c>
      <c r="AA67">
        <f t="shared" si="37"/>
        <v>3416.1000000000004</v>
      </c>
      <c r="AB67">
        <f t="shared" si="45"/>
        <v>146.399999999996</v>
      </c>
      <c r="AC67">
        <v>0.94418669989266912</v>
      </c>
      <c r="AD67">
        <f t="shared" si="38"/>
        <v>4.1094736842104185</v>
      </c>
      <c r="AE67">
        <f t="shared" si="4"/>
        <v>2.3834947368420427</v>
      </c>
      <c r="AF67">
        <f t="shared" si="47"/>
        <v>2.2504640297904343E-2</v>
      </c>
      <c r="AG67" s="2">
        <f t="shared" si="48"/>
        <v>0.22504640297904344</v>
      </c>
      <c r="AH67">
        <v>10</v>
      </c>
      <c r="AI67">
        <f t="shared" si="50"/>
        <v>2.2504640297904343E-2</v>
      </c>
      <c r="AJ67">
        <f t="shared" si="46"/>
        <v>2.2504640297904342E-3</v>
      </c>
    </row>
    <row r="68" spans="1:37" x14ac:dyDescent="0.2">
      <c r="A68" t="s">
        <v>44</v>
      </c>
      <c r="B68">
        <v>2023</v>
      </c>
      <c r="C68">
        <f t="shared" si="31"/>
        <v>2</v>
      </c>
      <c r="D68">
        <v>3</v>
      </c>
      <c r="E68">
        <v>2</v>
      </c>
      <c r="F68" t="s">
        <v>41</v>
      </c>
      <c r="G68">
        <v>50</v>
      </c>
      <c r="H68">
        <v>14.5</v>
      </c>
      <c r="I68">
        <f t="shared" si="39"/>
        <v>0.28999999999999998</v>
      </c>
      <c r="J68">
        <v>4</v>
      </c>
      <c r="L68">
        <v>26</v>
      </c>
      <c r="M68">
        <v>1.8169999999999999</v>
      </c>
      <c r="N68">
        <v>35.280999999999999</v>
      </c>
      <c r="O68">
        <f t="shared" si="35"/>
        <v>33.463999999999999</v>
      </c>
      <c r="P68">
        <v>24.481000000000002</v>
      </c>
      <c r="Q68">
        <f t="shared" si="36"/>
        <v>22.664000000000001</v>
      </c>
      <c r="R68">
        <f t="shared" si="40"/>
        <v>10.799999999999997</v>
      </c>
      <c r="S68">
        <f t="shared" si="41"/>
        <v>32.273487927324879</v>
      </c>
      <c r="T68">
        <v>16</v>
      </c>
      <c r="U68">
        <v>28.4529</v>
      </c>
      <c r="V68">
        <v>30.911899999999999</v>
      </c>
      <c r="W68">
        <f t="shared" si="42"/>
        <v>2.4589999999999996</v>
      </c>
      <c r="X68">
        <f t="shared" si="43"/>
        <v>2458.9999999999995</v>
      </c>
      <c r="Y68">
        <v>30.782</v>
      </c>
      <c r="Z68">
        <f t="shared" si="44"/>
        <v>2.3291000000000004</v>
      </c>
      <c r="AA68">
        <f t="shared" si="37"/>
        <v>2329.1000000000004</v>
      </c>
      <c r="AB68">
        <f t="shared" si="45"/>
        <v>129.89999999999918</v>
      </c>
      <c r="AC68">
        <v>1.0202627626905951</v>
      </c>
      <c r="AD68">
        <f t="shared" si="38"/>
        <v>5.2826352175680844</v>
      </c>
      <c r="AE68">
        <f t="shared" si="4"/>
        <v>3.0639284261894888</v>
      </c>
      <c r="AF68">
        <f t="shared" si="47"/>
        <v>3.1260120807903351E-2</v>
      </c>
      <c r="AG68" s="2">
        <f t="shared" si="48"/>
        <v>1.5630060403951676</v>
      </c>
      <c r="AH68">
        <v>25</v>
      </c>
      <c r="AI68">
        <f t="shared" si="50"/>
        <v>3.1260120807903351E-2</v>
      </c>
      <c r="AJ68">
        <f t="shared" si="46"/>
        <v>1.2504048323161341E-3</v>
      </c>
    </row>
    <row r="69" spans="1:37" x14ac:dyDescent="0.2">
      <c r="A69" t="s">
        <v>44</v>
      </c>
      <c r="B69">
        <v>2023</v>
      </c>
      <c r="C69">
        <f t="shared" si="31"/>
        <v>2</v>
      </c>
      <c r="D69">
        <v>3</v>
      </c>
      <c r="E69">
        <v>2</v>
      </c>
      <c r="F69" t="s">
        <v>39</v>
      </c>
      <c r="G69">
        <v>25</v>
      </c>
      <c r="H69">
        <v>10.5</v>
      </c>
      <c r="I69">
        <f t="shared" si="39"/>
        <v>0.42</v>
      </c>
      <c r="J69">
        <v>4</v>
      </c>
      <c r="L69">
        <v>27</v>
      </c>
      <c r="M69">
        <v>1.839</v>
      </c>
      <c r="N69">
        <v>36.270000000000003</v>
      </c>
      <c r="O69">
        <f t="shared" si="35"/>
        <v>34.431000000000004</v>
      </c>
      <c r="P69">
        <v>25.981000000000002</v>
      </c>
      <c r="Q69">
        <f t="shared" si="36"/>
        <v>24.142000000000003</v>
      </c>
      <c r="R69">
        <f t="shared" si="40"/>
        <v>10.289000000000001</v>
      </c>
      <c r="S69">
        <f t="shared" si="41"/>
        <v>29.882954314425952</v>
      </c>
      <c r="T69">
        <v>20</v>
      </c>
      <c r="U69">
        <v>28.529499999999999</v>
      </c>
      <c r="V69">
        <v>31.598400000000002</v>
      </c>
      <c r="W69">
        <f t="shared" si="42"/>
        <v>3.0689000000000028</v>
      </c>
      <c r="X69">
        <f t="shared" si="43"/>
        <v>3068.9000000000028</v>
      </c>
      <c r="Y69">
        <v>31.446300000000001</v>
      </c>
      <c r="Z69">
        <f t="shared" si="44"/>
        <v>2.9168000000000021</v>
      </c>
      <c r="AA69">
        <f t="shared" si="37"/>
        <v>2916.800000000002</v>
      </c>
      <c r="AB69">
        <f t="shared" si="45"/>
        <v>152.10000000000082</v>
      </c>
      <c r="AC69">
        <v>0.75469284577388129</v>
      </c>
      <c r="AD69">
        <f t="shared" si="38"/>
        <v>4.9561732216755408</v>
      </c>
      <c r="AE69">
        <f t="shared" ref="AE69:AE108" si="51">0.58*AD69</f>
        <v>2.8745804685718133</v>
      </c>
      <c r="AF69">
        <f t="shared" si="47"/>
        <v>2.1694253142324788E-2</v>
      </c>
      <c r="AG69" s="2">
        <f t="shared" si="48"/>
        <v>0.54235632855811966</v>
      </c>
      <c r="AH69">
        <v>15</v>
      </c>
      <c r="AI69">
        <f t="shared" si="50"/>
        <v>2.1694253142324788E-2</v>
      </c>
      <c r="AJ69">
        <f t="shared" si="46"/>
        <v>1.4462835428216525E-3</v>
      </c>
    </row>
    <row r="70" spans="1:37" x14ac:dyDescent="0.2">
      <c r="A70" t="s">
        <v>44</v>
      </c>
      <c r="B70">
        <v>2023</v>
      </c>
      <c r="C70">
        <f t="shared" si="31"/>
        <v>2</v>
      </c>
      <c r="D70">
        <v>3</v>
      </c>
      <c r="E70">
        <v>2</v>
      </c>
      <c r="F70" t="s">
        <v>40</v>
      </c>
      <c r="G70">
        <v>10</v>
      </c>
      <c r="H70">
        <v>7.5</v>
      </c>
      <c r="I70">
        <f t="shared" si="39"/>
        <v>0.75</v>
      </c>
      <c r="J70">
        <v>4</v>
      </c>
      <c r="L70">
        <v>28</v>
      </c>
      <c r="M70">
        <v>1.84</v>
      </c>
      <c r="N70">
        <v>32.054000000000002</v>
      </c>
      <c r="O70">
        <f t="shared" si="35"/>
        <v>30.214000000000002</v>
      </c>
      <c r="P70">
        <v>22.687999999999999</v>
      </c>
      <c r="Q70">
        <f t="shared" si="36"/>
        <v>20.847999999999999</v>
      </c>
      <c r="R70">
        <f t="shared" si="40"/>
        <v>9.3660000000000032</v>
      </c>
      <c r="S70">
        <f t="shared" si="41"/>
        <v>30.998874693850542</v>
      </c>
      <c r="T70">
        <v>15</v>
      </c>
      <c r="U70">
        <v>27.837800000000001</v>
      </c>
      <c r="V70">
        <v>31.334299999999999</v>
      </c>
      <c r="W70">
        <f t="shared" si="42"/>
        <v>3.4964999999999975</v>
      </c>
      <c r="X70">
        <f t="shared" si="43"/>
        <v>3496.4999999999973</v>
      </c>
      <c r="Y70">
        <v>31.177199999999999</v>
      </c>
      <c r="Z70">
        <f t="shared" si="44"/>
        <v>3.3393999999999977</v>
      </c>
      <c r="AA70">
        <f t="shared" si="37"/>
        <v>3339.3999999999978</v>
      </c>
      <c r="AB70">
        <f t="shared" si="45"/>
        <v>157.09999999999945</v>
      </c>
      <c r="AC70">
        <v>0.94418669989266912</v>
      </c>
      <c r="AD70">
        <f t="shared" si="38"/>
        <v>4.4930644930644812</v>
      </c>
      <c r="AE70">
        <f t="shared" si="51"/>
        <v>2.605977405977399</v>
      </c>
      <c r="AF70">
        <f t="shared" si="47"/>
        <v>2.4605292069446588E-2</v>
      </c>
      <c r="AG70" s="2">
        <f t="shared" si="48"/>
        <v>0.24605292069446588</v>
      </c>
      <c r="AH70">
        <v>10</v>
      </c>
      <c r="AI70">
        <f t="shared" si="50"/>
        <v>2.4605292069446588E-2</v>
      </c>
      <c r="AJ70">
        <f t="shared" si="46"/>
        <v>2.4605292069446588E-3</v>
      </c>
    </row>
    <row r="71" spans="1:37" x14ac:dyDescent="0.2">
      <c r="A71" t="s">
        <v>44</v>
      </c>
      <c r="B71">
        <v>2023</v>
      </c>
      <c r="C71">
        <f t="shared" si="31"/>
        <v>2</v>
      </c>
      <c r="D71">
        <v>3</v>
      </c>
      <c r="E71">
        <v>3</v>
      </c>
      <c r="F71" t="s">
        <v>41</v>
      </c>
      <c r="G71">
        <v>50</v>
      </c>
      <c r="H71">
        <v>20.2</v>
      </c>
      <c r="I71">
        <f t="shared" si="39"/>
        <v>0.40399999999999997</v>
      </c>
      <c r="J71">
        <v>4</v>
      </c>
      <c r="L71">
        <v>29</v>
      </c>
      <c r="M71">
        <v>1.83</v>
      </c>
      <c r="N71">
        <v>33.47</v>
      </c>
      <c r="O71">
        <f t="shared" si="35"/>
        <v>31.64</v>
      </c>
      <c r="P71">
        <v>25.891999999999999</v>
      </c>
      <c r="Q71">
        <f t="shared" si="36"/>
        <v>24.061999999999998</v>
      </c>
      <c r="R71">
        <f t="shared" si="40"/>
        <v>7.578000000000003</v>
      </c>
      <c r="S71">
        <f t="shared" si="41"/>
        <v>23.950695322376745</v>
      </c>
      <c r="T71">
        <v>17</v>
      </c>
      <c r="U71">
        <v>28.976900000000001</v>
      </c>
      <c r="V71">
        <v>32.813400000000001</v>
      </c>
      <c r="W71">
        <f t="shared" si="42"/>
        <v>3.8365000000000009</v>
      </c>
      <c r="X71">
        <f t="shared" si="43"/>
        <v>3836.5000000000009</v>
      </c>
      <c r="Y71">
        <v>32.641500000000001</v>
      </c>
      <c r="Z71">
        <f t="shared" si="44"/>
        <v>3.6646000000000001</v>
      </c>
      <c r="AA71">
        <f t="shared" si="37"/>
        <v>3664.6</v>
      </c>
      <c r="AB71">
        <f t="shared" si="45"/>
        <v>171.900000000001</v>
      </c>
      <c r="AC71">
        <v>1.0202627626905951</v>
      </c>
      <c r="AD71">
        <f t="shared" si="38"/>
        <v>4.480646422520552</v>
      </c>
      <c r="AE71">
        <f t="shared" si="51"/>
        <v>2.5987749250619201</v>
      </c>
      <c r="AF71">
        <f t="shared" si="47"/>
        <v>2.6514332846547188E-2</v>
      </c>
      <c r="AG71" s="2">
        <f t="shared" si="48"/>
        <v>1.3257166423273594</v>
      </c>
      <c r="AH71">
        <v>25</v>
      </c>
      <c r="AI71">
        <f t="shared" si="50"/>
        <v>2.6514332846547188E-2</v>
      </c>
      <c r="AJ71">
        <f t="shared" si="46"/>
        <v>1.0605733138618874E-3</v>
      </c>
    </row>
    <row r="72" spans="1:37" x14ac:dyDescent="0.2">
      <c r="A72" t="s">
        <v>44</v>
      </c>
      <c r="B72">
        <v>2023</v>
      </c>
      <c r="C72">
        <f t="shared" si="31"/>
        <v>2</v>
      </c>
      <c r="D72">
        <v>3</v>
      </c>
      <c r="E72">
        <v>3</v>
      </c>
      <c r="F72" t="s">
        <v>39</v>
      </c>
      <c r="G72">
        <v>25</v>
      </c>
      <c r="H72">
        <v>19</v>
      </c>
      <c r="I72">
        <f t="shared" si="39"/>
        <v>0.76</v>
      </c>
      <c r="J72">
        <v>4</v>
      </c>
      <c r="L72">
        <v>30</v>
      </c>
      <c r="M72">
        <v>1.851</v>
      </c>
      <c r="N72">
        <v>33.716999999999999</v>
      </c>
      <c r="O72">
        <f t="shared" si="35"/>
        <v>31.866</v>
      </c>
      <c r="P72">
        <v>26.134</v>
      </c>
      <c r="Q72">
        <f t="shared" si="36"/>
        <v>24.283000000000001</v>
      </c>
      <c r="R72">
        <f t="shared" si="40"/>
        <v>7.5829999999999984</v>
      </c>
      <c r="S72">
        <f t="shared" si="41"/>
        <v>23.796522939810451</v>
      </c>
      <c r="T72">
        <v>7</v>
      </c>
      <c r="U72">
        <v>27.2575</v>
      </c>
      <c r="V72">
        <v>30.534199999999998</v>
      </c>
      <c r="W72">
        <f t="shared" si="42"/>
        <v>3.2766999999999982</v>
      </c>
      <c r="X72">
        <f t="shared" si="43"/>
        <v>3276.699999999998</v>
      </c>
      <c r="Y72">
        <v>30.399000000000001</v>
      </c>
      <c r="Z72">
        <f t="shared" si="44"/>
        <v>3.1415000000000006</v>
      </c>
      <c r="AA72">
        <f t="shared" si="37"/>
        <v>3141.5000000000005</v>
      </c>
      <c r="AB72">
        <f t="shared" si="45"/>
        <v>135.19999999999754</v>
      </c>
      <c r="AC72">
        <v>0.75469284577388129</v>
      </c>
      <c r="AD72">
        <f t="shared" si="38"/>
        <v>4.1261024811547484</v>
      </c>
      <c r="AE72">
        <f t="shared" si="51"/>
        <v>2.393139439069754</v>
      </c>
      <c r="AF72">
        <f t="shared" si="47"/>
        <v>1.8060852136052626E-2</v>
      </c>
      <c r="AG72" s="2">
        <f t="shared" si="48"/>
        <v>0.45152130340131563</v>
      </c>
      <c r="AH72">
        <v>15</v>
      </c>
      <c r="AI72">
        <f t="shared" si="50"/>
        <v>1.8060852136052626E-2</v>
      </c>
      <c r="AJ72">
        <f t="shared" si="46"/>
        <v>1.204056809070175E-3</v>
      </c>
    </row>
    <row r="73" spans="1:37" x14ac:dyDescent="0.2">
      <c r="A73" t="s">
        <v>44</v>
      </c>
      <c r="B73">
        <v>2023</v>
      </c>
      <c r="C73">
        <f t="shared" si="31"/>
        <v>2</v>
      </c>
      <c r="D73">
        <v>3</v>
      </c>
      <c r="E73">
        <v>3</v>
      </c>
      <c r="F73" t="s">
        <v>40</v>
      </c>
      <c r="G73">
        <v>10</v>
      </c>
      <c r="H73">
        <v>10</v>
      </c>
      <c r="I73">
        <f t="shared" si="39"/>
        <v>1</v>
      </c>
      <c r="J73">
        <v>5.2</v>
      </c>
      <c r="L73">
        <v>31</v>
      </c>
      <c r="M73">
        <v>1.835</v>
      </c>
      <c r="N73">
        <v>36.220999999999997</v>
      </c>
      <c r="O73">
        <f t="shared" si="35"/>
        <v>34.385999999999996</v>
      </c>
      <c r="P73">
        <v>28.172999999999998</v>
      </c>
      <c r="Q73">
        <f t="shared" si="36"/>
        <v>26.337999999999997</v>
      </c>
      <c r="R73">
        <f t="shared" si="40"/>
        <v>8.0479999999999983</v>
      </c>
      <c r="S73">
        <f t="shared" si="41"/>
        <v>23.404874076659105</v>
      </c>
      <c r="T73">
        <v>13</v>
      </c>
      <c r="U73">
        <v>22.1968</v>
      </c>
      <c r="V73">
        <v>25.859100000000002</v>
      </c>
      <c r="W73">
        <f t="shared" si="42"/>
        <v>3.6623000000000019</v>
      </c>
      <c r="X73">
        <f t="shared" si="43"/>
        <v>3662.300000000002</v>
      </c>
      <c r="Y73">
        <v>25.706399999999999</v>
      </c>
      <c r="Z73">
        <f t="shared" si="44"/>
        <v>3.5095999999999989</v>
      </c>
      <c r="AA73">
        <f t="shared" si="37"/>
        <v>3509.599999999999</v>
      </c>
      <c r="AB73">
        <f t="shared" si="45"/>
        <v>152.700000000003</v>
      </c>
      <c r="AC73">
        <v>0.94418669989266912</v>
      </c>
      <c r="AD73">
        <f t="shared" si="38"/>
        <v>4.1695109630560827</v>
      </c>
      <c r="AE73">
        <f t="shared" si="51"/>
        <v>2.418316358572528</v>
      </c>
      <c r="AF73">
        <f t="shared" si="47"/>
        <v>2.2833421418970521E-2</v>
      </c>
      <c r="AG73" s="2">
        <f t="shared" si="48"/>
        <v>0.2283342141897052</v>
      </c>
      <c r="AH73">
        <v>10</v>
      </c>
      <c r="AI73">
        <f t="shared" si="50"/>
        <v>2.2833421418970521E-2</v>
      </c>
      <c r="AJ73">
        <f t="shared" si="46"/>
        <v>2.2833421418970521E-3</v>
      </c>
    </row>
    <row r="74" spans="1:37" x14ac:dyDescent="0.2">
      <c r="A74" t="s">
        <v>44</v>
      </c>
      <c r="B74">
        <v>2023</v>
      </c>
      <c r="C74">
        <f t="shared" si="31"/>
        <v>2</v>
      </c>
      <c r="D74">
        <v>4</v>
      </c>
      <c r="E74">
        <v>1</v>
      </c>
      <c r="F74" t="s">
        <v>41</v>
      </c>
      <c r="G74">
        <v>50</v>
      </c>
      <c r="H74">
        <v>23.5</v>
      </c>
      <c r="I74">
        <f t="shared" si="39"/>
        <v>0.47</v>
      </c>
      <c r="J74">
        <v>4</v>
      </c>
      <c r="L74">
        <v>32</v>
      </c>
      <c r="M74">
        <v>1.855</v>
      </c>
      <c r="N74">
        <v>32.082000000000001</v>
      </c>
      <c r="O74">
        <f t="shared" si="35"/>
        <v>30.227</v>
      </c>
      <c r="P74">
        <v>23.902000000000001</v>
      </c>
      <c r="Q74">
        <f t="shared" si="36"/>
        <v>22.047000000000001</v>
      </c>
      <c r="R74">
        <f t="shared" si="40"/>
        <v>8.18</v>
      </c>
      <c r="S74">
        <f t="shared" si="41"/>
        <v>27.061898302841829</v>
      </c>
      <c r="T74">
        <v>2</v>
      </c>
      <c r="U74">
        <v>26.6463</v>
      </c>
      <c r="V74">
        <v>29.828900000000001</v>
      </c>
      <c r="W74">
        <f t="shared" si="42"/>
        <v>3.1826000000000008</v>
      </c>
      <c r="X74">
        <f t="shared" si="43"/>
        <v>3182.6000000000008</v>
      </c>
      <c r="Y74">
        <v>29.690899999999999</v>
      </c>
      <c r="Z74">
        <f t="shared" si="44"/>
        <v>3.0445999999999991</v>
      </c>
      <c r="AA74">
        <f t="shared" si="37"/>
        <v>3044.599999999999</v>
      </c>
      <c r="AB74">
        <f t="shared" si="45"/>
        <v>138.00000000000182</v>
      </c>
      <c r="AC74">
        <v>1.0202627626905951</v>
      </c>
      <c r="AD74">
        <f t="shared" si="38"/>
        <v>4.3360774209766157</v>
      </c>
      <c r="AE74">
        <f t="shared" si="51"/>
        <v>2.514924904166437</v>
      </c>
      <c r="AF74">
        <f t="shared" si="47"/>
        <v>2.5658842306842289E-2</v>
      </c>
      <c r="AG74" s="2">
        <f t="shared" si="48"/>
        <v>1.2829421153421143</v>
      </c>
      <c r="AH74">
        <v>25</v>
      </c>
      <c r="AI74">
        <f t="shared" si="50"/>
        <v>2.5658842306842289E-2</v>
      </c>
      <c r="AJ74">
        <f t="shared" si="46"/>
        <v>1.0263536922736915E-3</v>
      </c>
    </row>
    <row r="75" spans="1:37" x14ac:dyDescent="0.2">
      <c r="A75" t="s">
        <v>44</v>
      </c>
      <c r="B75">
        <v>2023</v>
      </c>
      <c r="C75">
        <f t="shared" si="31"/>
        <v>2</v>
      </c>
      <c r="D75">
        <v>4</v>
      </c>
      <c r="E75">
        <v>1</v>
      </c>
      <c r="F75" t="s">
        <v>39</v>
      </c>
      <c r="G75">
        <v>25</v>
      </c>
      <c r="H75">
        <v>14</v>
      </c>
      <c r="I75">
        <f t="shared" si="39"/>
        <v>0.56000000000000005</v>
      </c>
      <c r="J75">
        <v>4</v>
      </c>
      <c r="L75">
        <v>33</v>
      </c>
      <c r="M75">
        <v>1.82</v>
      </c>
      <c r="N75">
        <v>35.091999999999999</v>
      </c>
      <c r="O75">
        <f t="shared" si="35"/>
        <v>33.271999999999998</v>
      </c>
      <c r="P75">
        <v>25.937999999999999</v>
      </c>
      <c r="Q75">
        <f t="shared" si="36"/>
        <v>24.117999999999999</v>
      </c>
      <c r="R75">
        <f t="shared" si="40"/>
        <v>9.1539999999999999</v>
      </c>
      <c r="S75">
        <f t="shared" si="41"/>
        <v>27.512623226737198</v>
      </c>
      <c r="T75">
        <v>21</v>
      </c>
      <c r="U75">
        <v>31.08</v>
      </c>
      <c r="V75">
        <v>33.904600000000002</v>
      </c>
      <c r="W75">
        <f t="shared" si="42"/>
        <v>2.8246000000000038</v>
      </c>
      <c r="X75">
        <f t="shared" si="43"/>
        <v>2824.600000000004</v>
      </c>
      <c r="Y75">
        <v>33.773000000000003</v>
      </c>
      <c r="Z75">
        <f t="shared" si="44"/>
        <v>2.6930000000000049</v>
      </c>
      <c r="AA75">
        <f t="shared" si="37"/>
        <v>2693.000000000005</v>
      </c>
      <c r="AB75">
        <f t="shared" si="45"/>
        <v>131.599999999999</v>
      </c>
      <c r="AC75">
        <v>0.75469284577388129</v>
      </c>
      <c r="AD75">
        <f t="shared" si="38"/>
        <v>4.6590667705161373</v>
      </c>
      <c r="AE75">
        <f t="shared" si="51"/>
        <v>2.7022587268993594</v>
      </c>
      <c r="AF75">
        <f t="shared" si="47"/>
        <v>2.0393753286209831E-2</v>
      </c>
      <c r="AG75" s="2">
        <f t="shared" si="48"/>
        <v>0.50984383215524576</v>
      </c>
      <c r="AH75">
        <v>15</v>
      </c>
      <c r="AI75">
        <f t="shared" si="50"/>
        <v>2.0393753286209831E-2</v>
      </c>
      <c r="AJ75">
        <f t="shared" si="46"/>
        <v>1.3595835524139886E-3</v>
      </c>
    </row>
    <row r="76" spans="1:37" x14ac:dyDescent="0.2">
      <c r="A76" t="s">
        <v>44</v>
      </c>
      <c r="B76">
        <v>2023</v>
      </c>
      <c r="C76">
        <f t="shared" si="31"/>
        <v>2</v>
      </c>
      <c r="D76">
        <v>4</v>
      </c>
      <c r="E76">
        <v>1</v>
      </c>
      <c r="F76" t="s">
        <v>40</v>
      </c>
      <c r="G76">
        <v>10</v>
      </c>
      <c r="H76">
        <v>9.5</v>
      </c>
      <c r="I76">
        <f t="shared" si="39"/>
        <v>0.95</v>
      </c>
      <c r="J76">
        <v>4</v>
      </c>
      <c r="L76">
        <v>34</v>
      </c>
      <c r="M76">
        <v>1.841</v>
      </c>
      <c r="N76">
        <v>30.939</v>
      </c>
      <c r="O76">
        <f t="shared" si="35"/>
        <v>29.097999999999999</v>
      </c>
      <c r="P76">
        <v>22.206</v>
      </c>
      <c r="Q76">
        <f t="shared" si="36"/>
        <v>20.364999999999998</v>
      </c>
      <c r="R76">
        <f t="shared" si="40"/>
        <v>8.7330000000000005</v>
      </c>
      <c r="S76">
        <f t="shared" si="41"/>
        <v>30.012371984328823</v>
      </c>
      <c r="T76">
        <v>19</v>
      </c>
      <c r="U76">
        <v>28.572099999999999</v>
      </c>
      <c r="V76">
        <v>31.862200000000001</v>
      </c>
      <c r="W76">
        <f t="shared" si="42"/>
        <v>3.2901000000000025</v>
      </c>
      <c r="X76">
        <f t="shared" si="43"/>
        <v>3290.1000000000026</v>
      </c>
      <c r="Y76">
        <v>31.681899999999999</v>
      </c>
      <c r="Z76">
        <f t="shared" si="44"/>
        <v>3.1097999999999999</v>
      </c>
      <c r="AA76">
        <f t="shared" si="37"/>
        <v>3109.7999999999997</v>
      </c>
      <c r="AB76">
        <f t="shared" si="45"/>
        <v>180.30000000000291</v>
      </c>
      <c r="AC76">
        <v>0.94418669989266912</v>
      </c>
      <c r="AD76">
        <f t="shared" si="38"/>
        <v>5.4800765934166975</v>
      </c>
      <c r="AE76">
        <f t="shared" si="51"/>
        <v>3.1784444241816843</v>
      </c>
      <c r="AF76">
        <f t="shared" si="47"/>
        <v>3.0010449516603591E-2</v>
      </c>
      <c r="AG76" s="2">
        <f t="shared" si="48"/>
        <v>0.30010449516603593</v>
      </c>
      <c r="AH76">
        <v>10</v>
      </c>
      <c r="AI76">
        <f t="shared" si="50"/>
        <v>3.0010449516603591E-2</v>
      </c>
      <c r="AJ76">
        <f t="shared" si="46"/>
        <v>3.001044951660359E-3</v>
      </c>
    </row>
    <row r="77" spans="1:37" x14ac:dyDescent="0.2">
      <c r="A77" t="s">
        <v>44</v>
      </c>
      <c r="B77">
        <v>2023</v>
      </c>
      <c r="C77">
        <f t="shared" si="31"/>
        <v>2</v>
      </c>
      <c r="D77">
        <v>4</v>
      </c>
      <c r="E77">
        <v>2</v>
      </c>
      <c r="F77" t="s">
        <v>41</v>
      </c>
      <c r="G77">
        <v>50</v>
      </c>
      <c r="H77">
        <v>19</v>
      </c>
      <c r="I77">
        <f t="shared" si="39"/>
        <v>0.38</v>
      </c>
      <c r="J77">
        <v>4</v>
      </c>
      <c r="L77">
        <v>4</v>
      </c>
      <c r="M77">
        <v>1.85</v>
      </c>
      <c r="N77">
        <v>37.363999999999997</v>
      </c>
      <c r="O77">
        <f t="shared" si="35"/>
        <v>35.513999999999996</v>
      </c>
      <c r="P77">
        <v>28.161999999999999</v>
      </c>
      <c r="Q77">
        <f t="shared" si="36"/>
        <v>26.311999999999998</v>
      </c>
      <c r="R77">
        <f t="shared" si="40"/>
        <v>9.2019999999999982</v>
      </c>
      <c r="S77">
        <f t="shared" si="41"/>
        <v>25.9109083741623</v>
      </c>
      <c r="T77">
        <v>4</v>
      </c>
      <c r="U77">
        <v>27.7805</v>
      </c>
      <c r="V77">
        <v>31.3993</v>
      </c>
      <c r="W77">
        <f t="shared" si="42"/>
        <v>3.6188000000000002</v>
      </c>
      <c r="X77">
        <f t="shared" si="43"/>
        <v>3618.8</v>
      </c>
      <c r="Y77">
        <v>31.238</v>
      </c>
      <c r="Z77">
        <f t="shared" si="44"/>
        <v>3.4574999999999996</v>
      </c>
      <c r="AA77">
        <f t="shared" si="37"/>
        <v>3457.4999999999995</v>
      </c>
      <c r="AB77">
        <f t="shared" si="45"/>
        <v>161.30000000000064</v>
      </c>
      <c r="AC77">
        <v>1.0202627626905951</v>
      </c>
      <c r="AD77">
        <f t="shared" si="38"/>
        <v>4.4572786559080537</v>
      </c>
      <c r="AE77">
        <f t="shared" si="51"/>
        <v>2.5852216204266711</v>
      </c>
      <c r="AF77">
        <f t="shared" si="47"/>
        <v>2.6376053526239725E-2</v>
      </c>
      <c r="AG77" s="2">
        <f t="shared" si="48"/>
        <v>1.3188026763119862</v>
      </c>
      <c r="AH77">
        <v>25</v>
      </c>
      <c r="AI77">
        <f t="shared" si="50"/>
        <v>2.6376053526239725E-2</v>
      </c>
      <c r="AJ77">
        <f t="shared" si="46"/>
        <v>1.0550421410495891E-3</v>
      </c>
      <c r="AK77" t="s">
        <v>48</v>
      </c>
    </row>
    <row r="78" spans="1:37" x14ac:dyDescent="0.2">
      <c r="A78" t="s">
        <v>44</v>
      </c>
      <c r="B78">
        <v>2023</v>
      </c>
      <c r="C78">
        <f t="shared" si="31"/>
        <v>2</v>
      </c>
      <c r="D78">
        <v>4</v>
      </c>
      <c r="E78">
        <v>2</v>
      </c>
      <c r="F78" t="s">
        <v>39</v>
      </c>
      <c r="G78">
        <v>25</v>
      </c>
      <c r="H78">
        <v>17</v>
      </c>
      <c r="I78">
        <f t="shared" si="39"/>
        <v>0.68</v>
      </c>
      <c r="J78">
        <v>4</v>
      </c>
      <c r="K78">
        <v>25.632999999999999</v>
      </c>
      <c r="L78">
        <v>35</v>
      </c>
      <c r="M78">
        <v>1.827</v>
      </c>
      <c r="N78">
        <v>31.878</v>
      </c>
      <c r="O78">
        <f t="shared" si="35"/>
        <v>30.051000000000002</v>
      </c>
      <c r="P78">
        <v>25.617000000000001</v>
      </c>
      <c r="Q78">
        <f t="shared" si="36"/>
        <v>23.79</v>
      </c>
      <c r="R78">
        <f t="shared" si="40"/>
        <v>6.2610000000000028</v>
      </c>
      <c r="S78">
        <f t="shared" si="41"/>
        <v>20.83458121193971</v>
      </c>
      <c r="T78">
        <v>12</v>
      </c>
      <c r="U78">
        <v>29.422499999999999</v>
      </c>
      <c r="V78">
        <v>32.679400000000001</v>
      </c>
      <c r="W78">
        <f t="shared" si="42"/>
        <v>3.2569000000000017</v>
      </c>
      <c r="X78">
        <f t="shared" si="43"/>
        <v>3256.9000000000015</v>
      </c>
      <c r="Y78">
        <v>32.562399999999997</v>
      </c>
      <c r="Z78">
        <f t="shared" si="44"/>
        <v>3.1398999999999972</v>
      </c>
      <c r="AA78">
        <f t="shared" si="37"/>
        <v>3139.8999999999974</v>
      </c>
      <c r="AB78">
        <f t="shared" si="45"/>
        <v>117.00000000000409</v>
      </c>
      <c r="AC78">
        <v>0.75469284577388129</v>
      </c>
      <c r="AD78">
        <f t="shared" si="38"/>
        <v>3.5923731155394405</v>
      </c>
      <c r="AE78">
        <f t="shared" si="51"/>
        <v>2.0835764070128753</v>
      </c>
      <c r="AF78">
        <f t="shared" si="47"/>
        <v>1.5724602079958655E-2</v>
      </c>
      <c r="AG78" s="2">
        <f t="shared" si="48"/>
        <v>0.39311505199896635</v>
      </c>
      <c r="AH78">
        <v>15</v>
      </c>
      <c r="AI78">
        <f t="shared" si="50"/>
        <v>1.5724602079958655E-2</v>
      </c>
      <c r="AJ78">
        <f t="shared" si="46"/>
        <v>1.0483068053305769E-3</v>
      </c>
    </row>
    <row r="79" spans="1:37" x14ac:dyDescent="0.2">
      <c r="A79" t="s">
        <v>44</v>
      </c>
      <c r="B79">
        <v>2023</v>
      </c>
      <c r="C79">
        <f t="shared" si="31"/>
        <v>2</v>
      </c>
      <c r="D79">
        <v>4</v>
      </c>
      <c r="E79">
        <v>2</v>
      </c>
      <c r="F79" t="s">
        <v>40</v>
      </c>
      <c r="G79">
        <v>10</v>
      </c>
      <c r="H79">
        <v>9.5</v>
      </c>
      <c r="I79">
        <f t="shared" si="39"/>
        <v>0.95</v>
      </c>
      <c r="J79">
        <v>5.2</v>
      </c>
      <c r="L79">
        <v>36</v>
      </c>
      <c r="M79">
        <v>1.8460000000000001</v>
      </c>
      <c r="N79">
        <v>32.040999999999997</v>
      </c>
      <c r="O79">
        <f t="shared" si="35"/>
        <v>30.194999999999997</v>
      </c>
      <c r="P79">
        <v>25.934999999999999</v>
      </c>
      <c r="Q79">
        <f t="shared" si="36"/>
        <v>24.088999999999999</v>
      </c>
      <c r="R79">
        <f t="shared" si="40"/>
        <v>6.1059999999999981</v>
      </c>
      <c r="S79">
        <f t="shared" si="41"/>
        <v>20.221891041563168</v>
      </c>
      <c r="T79">
        <v>8</v>
      </c>
      <c r="U79">
        <v>27.3459</v>
      </c>
      <c r="V79">
        <v>30.949200000000001</v>
      </c>
      <c r="W79">
        <f t="shared" si="42"/>
        <v>3.6033000000000008</v>
      </c>
      <c r="X79">
        <f t="shared" si="43"/>
        <v>3603.3000000000006</v>
      </c>
      <c r="Y79">
        <v>30.819600000000001</v>
      </c>
      <c r="Z79">
        <f t="shared" si="44"/>
        <v>3.4737000000000009</v>
      </c>
      <c r="AA79">
        <f t="shared" si="37"/>
        <v>3473.7000000000007</v>
      </c>
      <c r="AB79">
        <f t="shared" si="45"/>
        <v>129.59999999999991</v>
      </c>
      <c r="AC79">
        <v>0.94418669989266912</v>
      </c>
      <c r="AD79">
        <f t="shared" ref="AD79:AD108" si="52">((X79-AA79)/X79)*100</f>
        <v>3.5967030222296201</v>
      </c>
      <c r="AE79">
        <f t="shared" si="51"/>
        <v>2.0860877528931794</v>
      </c>
      <c r="AF79">
        <f t="shared" si="47"/>
        <v>1.9696563110907249E-2</v>
      </c>
      <c r="AG79" s="2">
        <f t="shared" si="48"/>
        <v>0.1969656311090725</v>
      </c>
      <c r="AH79">
        <v>10</v>
      </c>
      <c r="AI79">
        <f t="shared" si="50"/>
        <v>1.9696563110907249E-2</v>
      </c>
      <c r="AJ79">
        <f t="shared" si="46"/>
        <v>1.969656311090725E-3</v>
      </c>
    </row>
    <row r="80" spans="1:37" x14ac:dyDescent="0.2">
      <c r="A80" t="s">
        <v>44</v>
      </c>
      <c r="B80">
        <v>2023</v>
      </c>
      <c r="C80">
        <f t="shared" si="31"/>
        <v>2</v>
      </c>
      <c r="D80">
        <v>4</v>
      </c>
      <c r="E80">
        <v>3</v>
      </c>
      <c r="F80" t="s">
        <v>41</v>
      </c>
      <c r="G80">
        <v>50</v>
      </c>
      <c r="H80">
        <v>25.5</v>
      </c>
      <c r="I80">
        <f t="shared" si="39"/>
        <v>0.51</v>
      </c>
      <c r="J80">
        <v>4</v>
      </c>
      <c r="K80">
        <v>23.553000000000001</v>
      </c>
      <c r="L80">
        <v>37</v>
      </c>
      <c r="M80">
        <v>1.839</v>
      </c>
      <c r="N80">
        <v>31.936</v>
      </c>
      <c r="O80">
        <f t="shared" si="35"/>
        <v>30.097000000000001</v>
      </c>
      <c r="P80">
        <v>23.542000000000002</v>
      </c>
      <c r="Q80">
        <f t="shared" si="36"/>
        <v>21.703000000000003</v>
      </c>
      <c r="R80">
        <f t="shared" si="40"/>
        <v>8.3939999999999984</v>
      </c>
      <c r="S80">
        <f t="shared" si="41"/>
        <v>27.889822905937461</v>
      </c>
      <c r="T80">
        <v>5</v>
      </c>
      <c r="U80">
        <v>22.167000000000002</v>
      </c>
      <c r="V80">
        <v>24.884899999999998</v>
      </c>
      <c r="W80">
        <f t="shared" si="42"/>
        <v>2.7178999999999967</v>
      </c>
      <c r="X80">
        <f t="shared" si="43"/>
        <v>2717.8999999999965</v>
      </c>
      <c r="Y80">
        <v>24.738700000000001</v>
      </c>
      <c r="Z80">
        <f t="shared" si="44"/>
        <v>2.5716999999999999</v>
      </c>
      <c r="AA80">
        <f t="shared" si="37"/>
        <v>2571.6999999999998</v>
      </c>
      <c r="AB80">
        <f t="shared" si="45"/>
        <v>146.19999999999663</v>
      </c>
      <c r="AC80">
        <v>1.0202627626905951</v>
      </c>
      <c r="AD80">
        <f t="shared" si="52"/>
        <v>5.3791530225540614</v>
      </c>
      <c r="AE80">
        <f t="shared" si="51"/>
        <v>3.1199087530813552</v>
      </c>
      <c r="AF80">
        <f t="shared" si="47"/>
        <v>3.1831267237613536E-2</v>
      </c>
      <c r="AG80" s="2">
        <f t="shared" si="48"/>
        <v>1.5915633618806768</v>
      </c>
      <c r="AH80">
        <v>25</v>
      </c>
      <c r="AI80">
        <f t="shared" si="50"/>
        <v>3.1831267237613536E-2</v>
      </c>
      <c r="AJ80">
        <f t="shared" si="46"/>
        <v>1.2732506895045414E-3</v>
      </c>
    </row>
    <row r="81" spans="1:37" x14ac:dyDescent="0.2">
      <c r="A81" t="s">
        <v>44</v>
      </c>
      <c r="B81">
        <v>2023</v>
      </c>
      <c r="C81">
        <f t="shared" si="31"/>
        <v>2</v>
      </c>
      <c r="D81">
        <v>4</v>
      </c>
      <c r="E81">
        <v>3</v>
      </c>
      <c r="F81" t="s">
        <v>39</v>
      </c>
      <c r="G81">
        <v>25</v>
      </c>
      <c r="H81">
        <v>17</v>
      </c>
      <c r="I81">
        <f t="shared" si="39"/>
        <v>0.68</v>
      </c>
      <c r="J81">
        <v>4</v>
      </c>
      <c r="L81">
        <v>38</v>
      </c>
      <c r="M81">
        <v>1.857</v>
      </c>
      <c r="N81">
        <v>34.177</v>
      </c>
      <c r="O81">
        <f t="shared" si="35"/>
        <v>32.32</v>
      </c>
      <c r="P81">
        <v>26.033000000000001</v>
      </c>
      <c r="Q81">
        <f t="shared" si="36"/>
        <v>24.176000000000002</v>
      </c>
      <c r="R81">
        <f t="shared" si="40"/>
        <v>8.1439999999999984</v>
      </c>
      <c r="S81">
        <f t="shared" si="41"/>
        <v>25.198019801980191</v>
      </c>
      <c r="T81">
        <v>1</v>
      </c>
      <c r="U81">
        <v>27.968399999999999</v>
      </c>
      <c r="V81">
        <v>31.917200000000001</v>
      </c>
      <c r="W81">
        <f t="shared" si="42"/>
        <v>3.9488000000000021</v>
      </c>
      <c r="X81">
        <f t="shared" si="43"/>
        <v>3948.800000000002</v>
      </c>
      <c r="Y81">
        <v>31.743400000000001</v>
      </c>
      <c r="Z81">
        <f t="shared" si="44"/>
        <v>3.7750000000000021</v>
      </c>
      <c r="AA81">
        <f t="shared" si="37"/>
        <v>3775.0000000000023</v>
      </c>
      <c r="AB81">
        <f t="shared" si="45"/>
        <v>173.79999999999973</v>
      </c>
      <c r="AC81">
        <v>0.75469284577388129</v>
      </c>
      <c r="AD81">
        <f t="shared" si="52"/>
        <v>4.4013371150729244</v>
      </c>
      <c r="AE81">
        <f t="shared" si="51"/>
        <v>2.552775526742296</v>
      </c>
      <c r="AF81">
        <f t="shared" si="47"/>
        <v>1.9265614268990622E-2</v>
      </c>
      <c r="AG81" s="2">
        <f t="shared" si="48"/>
        <v>0.48164035672476557</v>
      </c>
      <c r="AH81">
        <v>15</v>
      </c>
      <c r="AI81">
        <f t="shared" si="50"/>
        <v>1.9265614268990622E-2</v>
      </c>
      <c r="AJ81">
        <f t="shared" si="46"/>
        <v>1.2843742845993747E-3</v>
      </c>
    </row>
    <row r="82" spans="1:37" x14ac:dyDescent="0.2">
      <c r="A82" t="s">
        <v>44</v>
      </c>
      <c r="B82">
        <v>2023</v>
      </c>
      <c r="C82">
        <f t="shared" si="31"/>
        <v>2</v>
      </c>
      <c r="D82">
        <v>4</v>
      </c>
      <c r="E82">
        <v>3</v>
      </c>
      <c r="F82" t="s">
        <v>40</v>
      </c>
      <c r="G82">
        <v>10</v>
      </c>
      <c r="H82">
        <v>7</v>
      </c>
      <c r="I82">
        <f t="shared" si="39"/>
        <v>0.7</v>
      </c>
      <c r="J82">
        <v>5.2</v>
      </c>
      <c r="K82">
        <v>23.466999999999999</v>
      </c>
      <c r="L82">
        <v>39</v>
      </c>
      <c r="M82">
        <v>1.8360000000000001</v>
      </c>
      <c r="N82">
        <v>34.142000000000003</v>
      </c>
      <c r="O82">
        <f t="shared" si="35"/>
        <v>32.306000000000004</v>
      </c>
      <c r="P82">
        <v>25.94</v>
      </c>
      <c r="Q82">
        <f t="shared" si="36"/>
        <v>24.104000000000003</v>
      </c>
      <c r="R82">
        <f t="shared" si="40"/>
        <v>8.2020000000000017</v>
      </c>
      <c r="S82">
        <f t="shared" si="41"/>
        <v>25.388472729523929</v>
      </c>
      <c r="T82">
        <v>9</v>
      </c>
      <c r="U82">
        <v>30.430700000000002</v>
      </c>
      <c r="V82">
        <v>33.158200000000001</v>
      </c>
      <c r="W82">
        <f t="shared" si="42"/>
        <v>2.7274999999999991</v>
      </c>
      <c r="X82">
        <f t="shared" si="43"/>
        <v>2727.4999999999991</v>
      </c>
      <c r="Y82">
        <v>32.988399999999999</v>
      </c>
      <c r="Z82">
        <f t="shared" si="44"/>
        <v>2.557699999999997</v>
      </c>
      <c r="AA82">
        <f t="shared" si="37"/>
        <v>2557.6999999999971</v>
      </c>
      <c r="AB82">
        <f t="shared" si="45"/>
        <v>169.800000000002</v>
      </c>
      <c r="AC82">
        <v>0.94418669989266912</v>
      </c>
      <c r="AD82">
        <f t="shared" si="52"/>
        <v>6.2254812098992511</v>
      </c>
      <c r="AE82">
        <f t="shared" si="51"/>
        <v>3.6107791017415654</v>
      </c>
      <c r="AF82">
        <f t="shared" si="47"/>
        <v>3.4092496041147849E-2</v>
      </c>
      <c r="AG82" s="2">
        <f t="shared" si="48"/>
        <v>0.34092496041147846</v>
      </c>
      <c r="AH82">
        <v>10</v>
      </c>
      <c r="AI82">
        <f t="shared" si="50"/>
        <v>3.4092496041147849E-2</v>
      </c>
      <c r="AJ82">
        <f t="shared" si="46"/>
        <v>3.4092496041147847E-3</v>
      </c>
    </row>
    <row r="83" spans="1:37" x14ac:dyDescent="0.2">
      <c r="A83" t="s">
        <v>49</v>
      </c>
      <c r="B83">
        <v>2021</v>
      </c>
      <c r="C83">
        <f>2025-B83</f>
        <v>4</v>
      </c>
      <c r="D83">
        <v>1</v>
      </c>
      <c r="E83">
        <v>1</v>
      </c>
      <c r="F83" t="s">
        <v>38</v>
      </c>
      <c r="G83">
        <v>50</v>
      </c>
      <c r="H83">
        <v>21.5</v>
      </c>
      <c r="I83">
        <f t="shared" si="39"/>
        <v>0.43</v>
      </c>
      <c r="J83">
        <v>4</v>
      </c>
      <c r="L83">
        <v>49</v>
      </c>
      <c r="M83">
        <v>1.855</v>
      </c>
      <c r="N83">
        <v>34.601999999999997</v>
      </c>
      <c r="O83">
        <f t="shared" si="35"/>
        <v>32.747</v>
      </c>
      <c r="P83">
        <v>21.829000000000001</v>
      </c>
      <c r="Q83">
        <f t="shared" si="36"/>
        <v>19.974</v>
      </c>
      <c r="R83">
        <f>O83-Q83</f>
        <v>12.773</v>
      </c>
      <c r="S83" s="4">
        <f>((O83-Q83)/O83)*100</f>
        <v>39.005099703789661</v>
      </c>
      <c r="T83">
        <v>2</v>
      </c>
      <c r="U83">
        <v>26.6462</v>
      </c>
      <c r="V83">
        <v>29.134499999999999</v>
      </c>
      <c r="W83">
        <f>V83-U83</f>
        <v>2.4882999999999988</v>
      </c>
      <c r="X83">
        <f>W83*1000</f>
        <v>2488.2999999999988</v>
      </c>
      <c r="Y83">
        <v>28.999700000000001</v>
      </c>
      <c r="Z83">
        <f>Y83-U83</f>
        <v>2.3535000000000004</v>
      </c>
      <c r="AA83">
        <f t="shared" si="37"/>
        <v>2353.5000000000005</v>
      </c>
      <c r="AB83">
        <f>X83-AA83</f>
        <v>134.79999999999836</v>
      </c>
      <c r="AC83">
        <v>0.91301222541454419</v>
      </c>
      <c r="AD83">
        <f t="shared" si="52"/>
        <v>5.4173532130369502</v>
      </c>
      <c r="AE83">
        <f t="shared" si="51"/>
        <v>3.1420648635614308</v>
      </c>
      <c r="AF83">
        <f t="shared" si="47"/>
        <v>2.868743633477068E-2</v>
      </c>
      <c r="AG83" s="2">
        <f t="shared" si="48"/>
        <v>1.434371816738534</v>
      </c>
      <c r="AH83">
        <v>25</v>
      </c>
      <c r="AI83">
        <f>AG83-(AI84+AI85)</f>
        <v>0.2839948127724421</v>
      </c>
      <c r="AJ83">
        <f>AI83/AH83</f>
        <v>1.1359792510897684E-2</v>
      </c>
    </row>
    <row r="84" spans="1:37" x14ac:dyDescent="0.2">
      <c r="A84" t="s">
        <v>49</v>
      </c>
      <c r="B84">
        <v>2021</v>
      </c>
      <c r="C84">
        <f t="shared" ref="C84:C100" si="53">2025-B84</f>
        <v>4</v>
      </c>
      <c r="D84">
        <v>1</v>
      </c>
      <c r="E84">
        <v>1</v>
      </c>
      <c r="F84" t="s">
        <v>39</v>
      </c>
      <c r="G84">
        <v>25</v>
      </c>
      <c r="H84">
        <v>18</v>
      </c>
      <c r="I84">
        <f t="shared" si="39"/>
        <v>0.72</v>
      </c>
      <c r="J84">
        <v>4</v>
      </c>
      <c r="L84">
        <v>50</v>
      </c>
      <c r="M84">
        <v>1.915</v>
      </c>
      <c r="N84">
        <v>31.771999999999998</v>
      </c>
      <c r="O84">
        <f t="shared" si="35"/>
        <v>29.856999999999999</v>
      </c>
      <c r="P84">
        <v>19.084</v>
      </c>
      <c r="Q84">
        <f t="shared" si="36"/>
        <v>17.169</v>
      </c>
      <c r="R84">
        <f t="shared" ref="R84:R100" si="54">O84-Q84</f>
        <v>12.687999999999999</v>
      </c>
      <c r="S84" s="4">
        <f t="shared" ref="S84:S100" si="55">((O84-Q84)/O84)*100</f>
        <v>42.49589710955555</v>
      </c>
      <c r="T84">
        <v>7</v>
      </c>
      <c r="U84">
        <v>27.354099999999999</v>
      </c>
      <c r="V84">
        <v>29.940999999999999</v>
      </c>
      <c r="W84">
        <f t="shared" ref="W84:W100" si="56">V84-U84</f>
        <v>2.5869</v>
      </c>
      <c r="X84">
        <f t="shared" ref="X84:X100" si="57">W84*1000</f>
        <v>2586.9</v>
      </c>
      <c r="Y84">
        <v>29.729900000000001</v>
      </c>
      <c r="Z84">
        <f t="shared" ref="Z84:Z100" si="58">Y84-U84</f>
        <v>2.3758000000000017</v>
      </c>
      <c r="AA84">
        <f t="shared" si="37"/>
        <v>2375.8000000000015</v>
      </c>
      <c r="AB84">
        <f t="shared" ref="AB84:AB100" si="59">X84-AA84</f>
        <v>211.09999999999854</v>
      </c>
      <c r="AC84">
        <v>0.97221786424472922</v>
      </c>
      <c r="AD84">
        <f t="shared" si="52"/>
        <v>8.1603463605086599</v>
      </c>
      <c r="AE84">
        <f t="shared" si="51"/>
        <v>4.7330008890950221</v>
      </c>
      <c r="AF84">
        <f t="shared" si="47"/>
        <v>4.6015080158643674E-2</v>
      </c>
      <c r="AG84" s="2">
        <f t="shared" si="48"/>
        <v>1.1503770039660919</v>
      </c>
      <c r="AH84">
        <v>15</v>
      </c>
      <c r="AI84">
        <f>AG84-AG85</f>
        <v>0.78903827970909646</v>
      </c>
      <c r="AJ84">
        <f t="shared" ref="AJ84:AJ100" si="60">AI84/AH84</f>
        <v>5.2602551980606434E-2</v>
      </c>
    </row>
    <row r="85" spans="1:37" x14ac:dyDescent="0.2">
      <c r="A85" t="s">
        <v>49</v>
      </c>
      <c r="B85">
        <v>2021</v>
      </c>
      <c r="C85">
        <f t="shared" si="53"/>
        <v>4</v>
      </c>
      <c r="D85">
        <v>1</v>
      </c>
      <c r="E85">
        <v>1</v>
      </c>
      <c r="F85" t="s">
        <v>40</v>
      </c>
      <c r="G85">
        <v>10</v>
      </c>
      <c r="H85">
        <v>5.5</v>
      </c>
      <c r="I85">
        <f t="shared" si="39"/>
        <v>0.55000000000000004</v>
      </c>
      <c r="J85">
        <v>4</v>
      </c>
      <c r="L85">
        <v>51</v>
      </c>
      <c r="M85">
        <v>1.905</v>
      </c>
      <c r="N85">
        <v>30.744</v>
      </c>
      <c r="O85">
        <f t="shared" si="35"/>
        <v>28.838999999999999</v>
      </c>
      <c r="P85">
        <v>19.95</v>
      </c>
      <c r="Q85">
        <f t="shared" si="36"/>
        <v>18.044999999999998</v>
      </c>
      <c r="R85">
        <f t="shared" si="54"/>
        <v>10.794</v>
      </c>
      <c r="S85" s="4">
        <f t="shared" si="55"/>
        <v>37.428482263601374</v>
      </c>
      <c r="T85">
        <v>19</v>
      </c>
      <c r="U85">
        <v>28.572199999999999</v>
      </c>
      <c r="V85">
        <v>31.6721</v>
      </c>
      <c r="W85">
        <f t="shared" si="56"/>
        <v>3.0999000000000017</v>
      </c>
      <c r="X85">
        <f t="shared" si="57"/>
        <v>3099.9000000000015</v>
      </c>
      <c r="Y85">
        <v>31.480699999999999</v>
      </c>
      <c r="Z85">
        <f t="shared" si="58"/>
        <v>2.9085000000000001</v>
      </c>
      <c r="AA85">
        <f t="shared" si="37"/>
        <v>2908.5</v>
      </c>
      <c r="AB85">
        <f t="shared" si="59"/>
        <v>191.40000000000146</v>
      </c>
      <c r="AC85">
        <v>1.0090025504668434</v>
      </c>
      <c r="AD85">
        <f t="shared" si="52"/>
        <v>6.1743927223459263</v>
      </c>
      <c r="AE85">
        <f t="shared" si="51"/>
        <v>3.581147778960637</v>
      </c>
      <c r="AF85">
        <f t="shared" si="47"/>
        <v>3.6133872425699542E-2</v>
      </c>
      <c r="AG85" s="2">
        <f t="shared" si="48"/>
        <v>0.36133872425699542</v>
      </c>
      <c r="AH85">
        <v>10</v>
      </c>
      <c r="AI85">
        <f>AG85</f>
        <v>0.36133872425699542</v>
      </c>
      <c r="AJ85">
        <f t="shared" si="60"/>
        <v>3.6133872425699542E-2</v>
      </c>
    </row>
    <row r="86" spans="1:37" x14ac:dyDescent="0.2">
      <c r="A86" t="s">
        <v>49</v>
      </c>
      <c r="B86">
        <v>2021</v>
      </c>
      <c r="C86">
        <f t="shared" si="53"/>
        <v>4</v>
      </c>
      <c r="D86">
        <v>1</v>
      </c>
      <c r="E86">
        <v>2</v>
      </c>
      <c r="F86" s="3" t="s">
        <v>41</v>
      </c>
      <c r="G86">
        <v>50</v>
      </c>
      <c r="H86">
        <v>16</v>
      </c>
      <c r="I86">
        <f t="shared" si="39"/>
        <v>0.32</v>
      </c>
      <c r="J86">
        <v>4</v>
      </c>
      <c r="L86">
        <v>52</v>
      </c>
      <c r="M86">
        <v>1.887</v>
      </c>
      <c r="N86">
        <v>35.707999999999998</v>
      </c>
      <c r="O86">
        <f t="shared" si="35"/>
        <v>33.820999999999998</v>
      </c>
      <c r="P86">
        <v>18.652999999999999</v>
      </c>
      <c r="Q86">
        <f t="shared" si="36"/>
        <v>16.765999999999998</v>
      </c>
      <c r="R86">
        <f t="shared" si="54"/>
        <v>17.055</v>
      </c>
      <c r="S86" s="4">
        <f t="shared" si="55"/>
        <v>50.427249342124711</v>
      </c>
      <c r="T86">
        <v>20</v>
      </c>
      <c r="U86">
        <v>28.529900000000001</v>
      </c>
      <c r="V86">
        <v>30.9969</v>
      </c>
      <c r="W86">
        <f t="shared" si="56"/>
        <v>2.4669999999999987</v>
      </c>
      <c r="X86">
        <f t="shared" si="57"/>
        <v>2466.9999999999986</v>
      </c>
      <c r="Y86">
        <v>30.797000000000001</v>
      </c>
      <c r="Z86">
        <f t="shared" si="58"/>
        <v>2.2670999999999992</v>
      </c>
      <c r="AA86">
        <f t="shared" si="37"/>
        <v>2267.0999999999995</v>
      </c>
      <c r="AB86">
        <f t="shared" si="59"/>
        <v>199.89999999999918</v>
      </c>
      <c r="AC86">
        <v>0.91301222541454419</v>
      </c>
      <c r="AD86">
        <f t="shared" si="52"/>
        <v>8.1029590595865137</v>
      </c>
      <c r="AE86">
        <f t="shared" si="51"/>
        <v>4.6997162545601778</v>
      </c>
      <c r="AF86">
        <f t="shared" ref="AF86:AF108" si="61">AC86*(AE86/100)</f>
        <v>4.2908983963928948E-2</v>
      </c>
      <c r="AG86" s="2">
        <f t="shared" si="48"/>
        <v>2.1454491981964474</v>
      </c>
      <c r="AH86">
        <v>25</v>
      </c>
      <c r="AI86">
        <f>AG86-(AI87+AI88)</f>
        <v>1.0621499172762843</v>
      </c>
      <c r="AJ86">
        <f t="shared" si="60"/>
        <v>4.2485996691051374E-2</v>
      </c>
    </row>
    <row r="87" spans="1:37" x14ac:dyDescent="0.2">
      <c r="A87" t="s">
        <v>49</v>
      </c>
      <c r="B87">
        <v>2021</v>
      </c>
      <c r="C87">
        <f t="shared" si="53"/>
        <v>4</v>
      </c>
      <c r="D87">
        <v>1</v>
      </c>
      <c r="E87">
        <v>2</v>
      </c>
      <c r="F87" t="s">
        <v>39</v>
      </c>
      <c r="G87">
        <v>25</v>
      </c>
      <c r="H87">
        <v>13</v>
      </c>
      <c r="I87">
        <f t="shared" si="39"/>
        <v>0.52</v>
      </c>
      <c r="J87">
        <v>4</v>
      </c>
      <c r="L87">
        <v>53</v>
      </c>
      <c r="M87">
        <v>1.887</v>
      </c>
      <c r="N87">
        <v>36.011000000000003</v>
      </c>
      <c r="O87">
        <f t="shared" si="35"/>
        <v>34.124000000000002</v>
      </c>
      <c r="P87">
        <v>20.709</v>
      </c>
      <c r="Q87">
        <f t="shared" si="36"/>
        <v>18.821999999999999</v>
      </c>
      <c r="R87">
        <f t="shared" si="54"/>
        <v>15.302000000000003</v>
      </c>
      <c r="S87" s="4">
        <f t="shared" si="55"/>
        <v>44.842339702262343</v>
      </c>
      <c r="T87">
        <v>12</v>
      </c>
      <c r="U87">
        <v>29.421700000000001</v>
      </c>
      <c r="V87">
        <v>31.990500000000001</v>
      </c>
      <c r="W87">
        <f t="shared" si="56"/>
        <v>2.5687999999999995</v>
      </c>
      <c r="X87">
        <f t="shared" si="57"/>
        <v>2568.7999999999997</v>
      </c>
      <c r="Y87">
        <v>31.793099999999999</v>
      </c>
      <c r="Z87">
        <f t="shared" si="58"/>
        <v>2.3713999999999977</v>
      </c>
      <c r="AA87">
        <f t="shared" si="37"/>
        <v>2371.3999999999978</v>
      </c>
      <c r="AB87">
        <f t="shared" si="59"/>
        <v>197.40000000000191</v>
      </c>
      <c r="AC87">
        <v>0.97221786424472922</v>
      </c>
      <c r="AD87">
        <f t="shared" si="52"/>
        <v>7.6845219557770923</v>
      </c>
      <c r="AE87">
        <f t="shared" si="51"/>
        <v>4.4570227343507129</v>
      </c>
      <c r="AF87">
        <f t="shared" si="61"/>
        <v>4.333197123680653E-2</v>
      </c>
      <c r="AG87" s="2">
        <f t="shared" si="48"/>
        <v>1.0832992809201631</v>
      </c>
      <c r="AH87">
        <v>15</v>
      </c>
      <c r="AI87">
        <f>AG87-AG88</f>
        <v>0.61029935314189099</v>
      </c>
      <c r="AJ87">
        <f t="shared" si="60"/>
        <v>4.0686623542792733E-2</v>
      </c>
    </row>
    <row r="88" spans="1:37" x14ac:dyDescent="0.2">
      <c r="A88" t="s">
        <v>49</v>
      </c>
      <c r="B88">
        <v>2021</v>
      </c>
      <c r="C88">
        <f t="shared" si="53"/>
        <v>4</v>
      </c>
      <c r="D88">
        <v>1</v>
      </c>
      <c r="E88">
        <v>2</v>
      </c>
      <c r="F88" t="s">
        <v>40</v>
      </c>
      <c r="G88">
        <v>10</v>
      </c>
      <c r="H88">
        <v>8.1999999999999993</v>
      </c>
      <c r="I88">
        <f t="shared" si="39"/>
        <v>0.82</v>
      </c>
      <c r="J88">
        <v>4</v>
      </c>
      <c r="L88">
        <v>54</v>
      </c>
      <c r="M88">
        <v>1.881</v>
      </c>
      <c r="N88">
        <v>31.699000000000002</v>
      </c>
      <c r="O88">
        <f t="shared" si="35"/>
        <v>29.818000000000001</v>
      </c>
      <c r="P88">
        <v>18.521000000000001</v>
      </c>
      <c r="Q88">
        <f t="shared" si="36"/>
        <v>16.64</v>
      </c>
      <c r="R88">
        <f t="shared" si="54"/>
        <v>13.178000000000001</v>
      </c>
      <c r="S88" s="4">
        <f t="shared" si="55"/>
        <v>44.194781675498021</v>
      </c>
      <c r="T88">
        <v>14</v>
      </c>
      <c r="U88">
        <v>27.7986</v>
      </c>
      <c r="V88">
        <v>31.584599999999998</v>
      </c>
      <c r="W88">
        <f t="shared" si="56"/>
        <v>3.7859999999999978</v>
      </c>
      <c r="X88">
        <f t="shared" si="57"/>
        <v>3785.9999999999977</v>
      </c>
      <c r="Y88">
        <v>31.278600000000001</v>
      </c>
      <c r="Z88">
        <f t="shared" si="58"/>
        <v>3.4800000000000004</v>
      </c>
      <c r="AA88">
        <f t="shared" si="37"/>
        <v>3480.0000000000005</v>
      </c>
      <c r="AB88">
        <f t="shared" si="59"/>
        <v>305.99999999999727</v>
      </c>
      <c r="AC88">
        <v>1.0090025504668434</v>
      </c>
      <c r="AD88">
        <f t="shared" si="52"/>
        <v>8.0824088748018337</v>
      </c>
      <c r="AE88">
        <f t="shared" si="51"/>
        <v>4.687797147385063</v>
      </c>
      <c r="AF88">
        <f t="shared" si="61"/>
        <v>4.7299992777827218E-2</v>
      </c>
      <c r="AG88" s="2">
        <f t="shared" si="48"/>
        <v>0.47299992777827216</v>
      </c>
      <c r="AH88">
        <v>10</v>
      </c>
      <c r="AI88">
        <f>AG88</f>
        <v>0.47299992777827216</v>
      </c>
      <c r="AJ88">
        <f t="shared" si="60"/>
        <v>4.7299992777827218E-2</v>
      </c>
    </row>
    <row r="89" spans="1:37" x14ac:dyDescent="0.2">
      <c r="A89" t="s">
        <v>49</v>
      </c>
      <c r="B89">
        <v>2021</v>
      </c>
      <c r="C89">
        <f t="shared" si="53"/>
        <v>4</v>
      </c>
      <c r="D89">
        <v>1</v>
      </c>
      <c r="E89">
        <v>3</v>
      </c>
      <c r="F89" s="3" t="s">
        <v>41</v>
      </c>
      <c r="G89">
        <v>50</v>
      </c>
      <c r="H89">
        <v>12.5</v>
      </c>
      <c r="I89">
        <f t="shared" si="39"/>
        <v>0.25</v>
      </c>
      <c r="J89">
        <v>4</v>
      </c>
      <c r="L89">
        <v>55</v>
      </c>
      <c r="M89">
        <v>1.895</v>
      </c>
      <c r="N89">
        <v>31.158999999999999</v>
      </c>
      <c r="O89">
        <f t="shared" si="35"/>
        <v>29.263999999999999</v>
      </c>
      <c r="P89">
        <v>16.481000000000002</v>
      </c>
      <c r="Q89">
        <f t="shared" si="36"/>
        <v>14.586000000000002</v>
      </c>
      <c r="R89">
        <f t="shared" si="54"/>
        <v>14.677999999999997</v>
      </c>
      <c r="S89" s="4">
        <f t="shared" si="55"/>
        <v>50.157189721159092</v>
      </c>
      <c r="T89">
        <v>21</v>
      </c>
      <c r="U89">
        <v>31.083500000000001</v>
      </c>
      <c r="V89">
        <v>34.643700000000003</v>
      </c>
      <c r="W89">
        <f t="shared" si="56"/>
        <v>3.5602000000000018</v>
      </c>
      <c r="X89">
        <f t="shared" si="57"/>
        <v>3560.2000000000016</v>
      </c>
      <c r="Y89">
        <v>34.260800000000003</v>
      </c>
      <c r="Z89">
        <f t="shared" si="58"/>
        <v>3.1773000000000025</v>
      </c>
      <c r="AA89">
        <f t="shared" si="37"/>
        <v>3177.3000000000025</v>
      </c>
      <c r="AB89">
        <f t="shared" si="59"/>
        <v>382.89999999999918</v>
      </c>
      <c r="AC89">
        <v>0.91301222541454419</v>
      </c>
      <c r="AD89">
        <f t="shared" si="52"/>
        <v>10.755013763271698</v>
      </c>
      <c r="AE89">
        <f t="shared" si="51"/>
        <v>6.2379079826975845</v>
      </c>
      <c r="AF89">
        <f t="shared" si="61"/>
        <v>5.6952862492138719E-2</v>
      </c>
      <c r="AG89" s="2">
        <f t="shared" si="48"/>
        <v>2.847643124606936</v>
      </c>
      <c r="AH89">
        <v>25</v>
      </c>
      <c r="AI89">
        <f>AG89-(AI90+AI91)</f>
        <v>1.6078848698275818</v>
      </c>
      <c r="AJ89">
        <f t="shared" si="60"/>
        <v>6.4315394793103275E-2</v>
      </c>
    </row>
    <row r="90" spans="1:37" x14ac:dyDescent="0.2">
      <c r="A90" t="s">
        <v>49</v>
      </c>
      <c r="B90">
        <v>2021</v>
      </c>
      <c r="C90">
        <f t="shared" si="53"/>
        <v>4</v>
      </c>
      <c r="D90">
        <v>1</v>
      </c>
      <c r="E90">
        <v>3</v>
      </c>
      <c r="F90" t="s">
        <v>39</v>
      </c>
      <c r="G90">
        <v>25</v>
      </c>
      <c r="H90">
        <v>7.5</v>
      </c>
      <c r="I90">
        <f t="shared" si="39"/>
        <v>0.3</v>
      </c>
      <c r="J90">
        <v>4</v>
      </c>
      <c r="L90">
        <v>56</v>
      </c>
      <c r="M90">
        <v>1.873</v>
      </c>
      <c r="N90">
        <v>34.314999999999998</v>
      </c>
      <c r="O90">
        <f t="shared" si="35"/>
        <v>32.442</v>
      </c>
      <c r="P90">
        <v>18.734999999999999</v>
      </c>
      <c r="Q90">
        <f t="shared" si="36"/>
        <v>16.861999999999998</v>
      </c>
      <c r="R90">
        <f t="shared" si="54"/>
        <v>15.580000000000002</v>
      </c>
      <c r="S90" s="4">
        <f t="shared" si="55"/>
        <v>48.024166204303071</v>
      </c>
      <c r="T90">
        <v>13</v>
      </c>
      <c r="U90">
        <v>22.196200000000001</v>
      </c>
      <c r="V90">
        <v>25.899699999999999</v>
      </c>
      <c r="W90">
        <f t="shared" si="56"/>
        <v>3.7034999999999982</v>
      </c>
      <c r="X90">
        <f t="shared" si="57"/>
        <v>3703.4999999999982</v>
      </c>
      <c r="Y90">
        <v>25.574000000000002</v>
      </c>
      <c r="Z90">
        <f t="shared" si="58"/>
        <v>3.3778000000000006</v>
      </c>
      <c r="AA90">
        <f t="shared" si="37"/>
        <v>3377.8000000000006</v>
      </c>
      <c r="AB90">
        <f t="shared" si="59"/>
        <v>325.69999999999754</v>
      </c>
      <c r="AC90">
        <v>0.97221786424472922</v>
      </c>
      <c r="AD90">
        <f t="shared" si="52"/>
        <v>8.7943836911029489</v>
      </c>
      <c r="AE90">
        <f t="shared" si="51"/>
        <v>5.1007425408397102</v>
      </c>
      <c r="AF90">
        <f t="shared" si="61"/>
        <v>4.9590330191174169E-2</v>
      </c>
      <c r="AG90" s="2">
        <f t="shared" si="48"/>
        <v>1.2397582547793542</v>
      </c>
      <c r="AH90">
        <v>15</v>
      </c>
      <c r="AI90">
        <f>AG90-AG91</f>
        <v>0.63290743617593481</v>
      </c>
      <c r="AJ90">
        <f t="shared" si="60"/>
        <v>4.2193829078395653E-2</v>
      </c>
    </row>
    <row r="91" spans="1:37" x14ac:dyDescent="0.2">
      <c r="A91" t="s">
        <v>49</v>
      </c>
      <c r="B91">
        <v>2021</v>
      </c>
      <c r="C91">
        <f t="shared" si="53"/>
        <v>4</v>
      </c>
      <c r="D91">
        <v>1</v>
      </c>
      <c r="E91">
        <v>3</v>
      </c>
      <c r="F91" t="s">
        <v>40</v>
      </c>
      <c r="G91">
        <v>10</v>
      </c>
      <c r="H91">
        <v>9.3000000000000007</v>
      </c>
      <c r="I91">
        <f t="shared" si="39"/>
        <v>0.93</v>
      </c>
      <c r="J91">
        <v>4</v>
      </c>
      <c r="L91">
        <v>57</v>
      </c>
      <c r="M91">
        <v>1.889</v>
      </c>
      <c r="N91">
        <v>32.064</v>
      </c>
      <c r="O91">
        <f t="shared" si="35"/>
        <v>30.175000000000001</v>
      </c>
      <c r="P91">
        <v>17.114000000000001</v>
      </c>
      <c r="Q91">
        <f t="shared" si="36"/>
        <v>15.225000000000001</v>
      </c>
      <c r="R91">
        <f t="shared" si="54"/>
        <v>14.95</v>
      </c>
      <c r="S91" s="4">
        <f t="shared" si="55"/>
        <v>49.544324772162383</v>
      </c>
      <c r="T91">
        <v>1</v>
      </c>
      <c r="U91">
        <v>27.967700000000001</v>
      </c>
      <c r="V91">
        <v>31.490500000000001</v>
      </c>
      <c r="W91">
        <f t="shared" si="56"/>
        <v>3.5228000000000002</v>
      </c>
      <c r="X91">
        <f t="shared" si="57"/>
        <v>3522.8</v>
      </c>
      <c r="Y91">
        <v>31.1252</v>
      </c>
      <c r="Z91">
        <f t="shared" si="58"/>
        <v>3.1574999999999989</v>
      </c>
      <c r="AA91">
        <f t="shared" si="37"/>
        <v>3157.4999999999991</v>
      </c>
      <c r="AB91">
        <f t="shared" si="59"/>
        <v>365.30000000000109</v>
      </c>
      <c r="AC91">
        <v>1.0090025504668434</v>
      </c>
      <c r="AD91">
        <f t="shared" si="52"/>
        <v>10.369592369705947</v>
      </c>
      <c r="AE91">
        <f t="shared" si="51"/>
        <v>6.0143635744294484</v>
      </c>
      <c r="AF91">
        <f t="shared" si="61"/>
        <v>6.0685081860341938E-2</v>
      </c>
      <c r="AG91" s="2">
        <f t="shared" si="48"/>
        <v>0.60685081860341938</v>
      </c>
      <c r="AH91">
        <v>10</v>
      </c>
      <c r="AI91">
        <f>AG91</f>
        <v>0.60685081860341938</v>
      </c>
      <c r="AJ91">
        <f t="shared" si="60"/>
        <v>6.0685081860341938E-2</v>
      </c>
    </row>
    <row r="92" spans="1:37" x14ac:dyDescent="0.2">
      <c r="A92" t="s">
        <v>49</v>
      </c>
      <c r="B92">
        <v>2017</v>
      </c>
      <c r="C92">
        <f t="shared" si="53"/>
        <v>8</v>
      </c>
      <c r="D92">
        <v>2</v>
      </c>
      <c r="E92">
        <v>1</v>
      </c>
      <c r="F92" s="3" t="s">
        <v>41</v>
      </c>
      <c r="G92">
        <v>50</v>
      </c>
      <c r="H92">
        <v>19.5</v>
      </c>
      <c r="I92">
        <f t="shared" si="39"/>
        <v>0.39</v>
      </c>
      <c r="J92">
        <v>4</v>
      </c>
      <c r="L92">
        <v>58</v>
      </c>
      <c r="M92">
        <v>1.8759999999999999</v>
      </c>
      <c r="N92">
        <v>35.56</v>
      </c>
      <c r="O92">
        <f t="shared" si="35"/>
        <v>33.684000000000005</v>
      </c>
      <c r="P92">
        <v>16.882999999999999</v>
      </c>
      <c r="Q92">
        <f t="shared" si="36"/>
        <v>15.007</v>
      </c>
      <c r="R92">
        <f t="shared" si="54"/>
        <v>18.677000000000007</v>
      </c>
      <c r="S92" s="4">
        <f t="shared" si="55"/>
        <v>55.44769029806438</v>
      </c>
      <c r="T92">
        <v>17</v>
      </c>
      <c r="U92">
        <v>28.977699999999999</v>
      </c>
      <c r="V92">
        <v>32.476399999999998</v>
      </c>
      <c r="W92">
        <f t="shared" si="56"/>
        <v>3.4986999999999995</v>
      </c>
      <c r="X92">
        <f t="shared" si="57"/>
        <v>3498.6999999999994</v>
      </c>
      <c r="Y92">
        <v>32.082000000000001</v>
      </c>
      <c r="Z92">
        <f t="shared" si="58"/>
        <v>3.1043000000000021</v>
      </c>
      <c r="AA92">
        <f t="shared" si="37"/>
        <v>3104.300000000002</v>
      </c>
      <c r="AB92">
        <f t="shared" si="59"/>
        <v>394.39999999999736</v>
      </c>
      <c r="AC92">
        <v>0.91301222541454419</v>
      </c>
      <c r="AD92">
        <f t="shared" si="52"/>
        <v>11.272758453139664</v>
      </c>
      <c r="AE92">
        <f t="shared" si="51"/>
        <v>6.5381999028210043</v>
      </c>
      <c r="AF92">
        <f t="shared" si="61"/>
        <v>5.9694564434797613E-2</v>
      </c>
      <c r="AG92" s="2">
        <f t="shared" si="48"/>
        <v>2.9847282217398807</v>
      </c>
      <c r="AH92">
        <v>25</v>
      </c>
      <c r="AI92">
        <f>AG92-(AI93+AI94)</f>
        <v>1.6119330277682558</v>
      </c>
      <c r="AJ92">
        <f t="shared" si="60"/>
        <v>6.4477321110730235E-2</v>
      </c>
      <c r="AK92" t="s">
        <v>50</v>
      </c>
    </row>
    <row r="93" spans="1:37" x14ac:dyDescent="0.2">
      <c r="A93" t="s">
        <v>49</v>
      </c>
      <c r="B93">
        <v>2017</v>
      </c>
      <c r="C93">
        <f t="shared" si="53"/>
        <v>8</v>
      </c>
      <c r="D93">
        <v>2</v>
      </c>
      <c r="E93">
        <v>1</v>
      </c>
      <c r="F93" t="s">
        <v>39</v>
      </c>
      <c r="G93">
        <v>25</v>
      </c>
      <c r="H93">
        <v>21</v>
      </c>
      <c r="I93">
        <f t="shared" si="39"/>
        <v>0.84</v>
      </c>
      <c r="J93">
        <v>4</v>
      </c>
      <c r="L93">
        <v>59</v>
      </c>
      <c r="M93">
        <v>1.8620000000000001</v>
      </c>
      <c r="N93">
        <v>33.177</v>
      </c>
      <c r="O93">
        <f t="shared" si="35"/>
        <v>31.314999999999998</v>
      </c>
      <c r="P93">
        <v>15.846</v>
      </c>
      <c r="Q93">
        <f t="shared" si="36"/>
        <v>13.984</v>
      </c>
      <c r="R93">
        <f t="shared" si="54"/>
        <v>17.330999999999996</v>
      </c>
      <c r="S93" s="4">
        <f t="shared" si="55"/>
        <v>55.344084304646323</v>
      </c>
      <c r="T93">
        <v>8</v>
      </c>
      <c r="U93">
        <v>27.3459</v>
      </c>
      <c r="V93">
        <v>30.5303</v>
      </c>
      <c r="W93">
        <f t="shared" si="56"/>
        <v>3.1844000000000001</v>
      </c>
      <c r="X93">
        <f t="shared" si="57"/>
        <v>3184.4</v>
      </c>
      <c r="Y93">
        <v>30.220199999999998</v>
      </c>
      <c r="Z93">
        <f t="shared" si="58"/>
        <v>2.8742999999999981</v>
      </c>
      <c r="AA93">
        <f t="shared" si="37"/>
        <v>2874.2999999999979</v>
      </c>
      <c r="AB93">
        <f t="shared" si="59"/>
        <v>310.10000000000218</v>
      </c>
      <c r="AC93">
        <v>0.97221786424472922</v>
      </c>
      <c r="AD93">
        <f t="shared" si="52"/>
        <v>9.7380982288657876</v>
      </c>
      <c r="AE93">
        <f t="shared" si="51"/>
        <v>5.6480969727421568</v>
      </c>
      <c r="AF93">
        <f t="shared" si="61"/>
        <v>5.4911807758864999E-2</v>
      </c>
      <c r="AG93" s="2">
        <f t="shared" ref="AG93:AG108" si="62">AF93*G93</f>
        <v>1.372795193971625</v>
      </c>
      <c r="AH93">
        <v>15</v>
      </c>
      <c r="AI93">
        <f>AG93-AG94</f>
        <v>0.84291856719209635</v>
      </c>
      <c r="AJ93">
        <f t="shared" si="60"/>
        <v>5.6194571146139759E-2</v>
      </c>
      <c r="AK93" t="s">
        <v>51</v>
      </c>
    </row>
    <row r="94" spans="1:37" x14ac:dyDescent="0.2">
      <c r="A94" t="s">
        <v>49</v>
      </c>
      <c r="B94">
        <v>2017</v>
      </c>
      <c r="C94">
        <f t="shared" si="53"/>
        <v>8</v>
      </c>
      <c r="D94">
        <v>2</v>
      </c>
      <c r="E94">
        <v>1</v>
      </c>
      <c r="F94" t="s">
        <v>40</v>
      </c>
      <c r="G94">
        <v>10</v>
      </c>
      <c r="H94">
        <v>10</v>
      </c>
      <c r="I94">
        <f t="shared" si="39"/>
        <v>1</v>
      </c>
      <c r="J94">
        <v>4</v>
      </c>
      <c r="L94">
        <v>60</v>
      </c>
      <c r="M94">
        <v>1.879</v>
      </c>
      <c r="N94">
        <v>31.585999999999999</v>
      </c>
      <c r="O94">
        <f t="shared" si="35"/>
        <v>29.706999999999997</v>
      </c>
      <c r="P94">
        <v>18.035</v>
      </c>
      <c r="Q94">
        <f t="shared" si="36"/>
        <v>16.155999999999999</v>
      </c>
      <c r="R94">
        <f t="shared" si="54"/>
        <v>13.550999999999998</v>
      </c>
      <c r="S94" s="4">
        <f t="shared" si="55"/>
        <v>45.615511495607095</v>
      </c>
      <c r="T94">
        <v>3</v>
      </c>
      <c r="U94">
        <v>28.9649</v>
      </c>
      <c r="V94">
        <v>32.54</v>
      </c>
      <c r="W94">
        <f t="shared" si="56"/>
        <v>3.5750999999999991</v>
      </c>
      <c r="X94">
        <f t="shared" si="57"/>
        <v>3575.099999999999</v>
      </c>
      <c r="Y94">
        <v>32.216299999999997</v>
      </c>
      <c r="Z94">
        <f t="shared" si="58"/>
        <v>3.2513999999999967</v>
      </c>
      <c r="AA94">
        <f t="shared" si="37"/>
        <v>3251.3999999999969</v>
      </c>
      <c r="AB94">
        <f t="shared" si="59"/>
        <v>323.70000000000209</v>
      </c>
      <c r="AC94">
        <v>1.0090025504668434</v>
      </c>
      <c r="AD94">
        <f t="shared" si="52"/>
        <v>9.0542921876311766</v>
      </c>
      <c r="AE94">
        <f t="shared" si="51"/>
        <v>5.2514894688260823</v>
      </c>
      <c r="AF94">
        <f t="shared" si="61"/>
        <v>5.2987662677952858E-2</v>
      </c>
      <c r="AG94" s="2">
        <f t="shared" si="62"/>
        <v>0.52987662677952863</v>
      </c>
      <c r="AH94">
        <v>10</v>
      </c>
      <c r="AI94">
        <f>AG94</f>
        <v>0.52987662677952863</v>
      </c>
      <c r="AJ94">
        <f t="shared" si="60"/>
        <v>5.2987662677952865E-2</v>
      </c>
    </row>
    <row r="95" spans="1:37" x14ac:dyDescent="0.2">
      <c r="A95" t="s">
        <v>49</v>
      </c>
      <c r="B95">
        <v>2017</v>
      </c>
      <c r="C95">
        <f t="shared" si="53"/>
        <v>8</v>
      </c>
      <c r="D95">
        <v>2</v>
      </c>
      <c r="E95">
        <v>2</v>
      </c>
      <c r="F95" s="3" t="s">
        <v>41</v>
      </c>
      <c r="G95">
        <v>50</v>
      </c>
      <c r="H95">
        <v>18</v>
      </c>
      <c r="I95">
        <f t="shared" si="39"/>
        <v>0.36</v>
      </c>
      <c r="J95">
        <v>4</v>
      </c>
      <c r="L95">
        <v>61</v>
      </c>
      <c r="M95">
        <v>1.887</v>
      </c>
      <c r="N95">
        <v>35.898000000000003</v>
      </c>
      <c r="O95">
        <f t="shared" si="35"/>
        <v>34.011000000000003</v>
      </c>
      <c r="P95">
        <v>19.742999999999999</v>
      </c>
      <c r="Q95">
        <f t="shared" si="36"/>
        <v>17.855999999999998</v>
      </c>
      <c r="R95">
        <f t="shared" si="54"/>
        <v>16.155000000000005</v>
      </c>
      <c r="S95" s="4">
        <f t="shared" si="55"/>
        <v>47.499338449325229</v>
      </c>
      <c r="T95">
        <v>9</v>
      </c>
      <c r="U95">
        <v>30.433</v>
      </c>
      <c r="V95">
        <v>34.081800000000001</v>
      </c>
      <c r="W95">
        <f t="shared" si="56"/>
        <v>3.6488000000000014</v>
      </c>
      <c r="X95">
        <f t="shared" si="57"/>
        <v>3648.8000000000015</v>
      </c>
      <c r="Y95">
        <v>33.815600000000003</v>
      </c>
      <c r="Z95">
        <f t="shared" si="58"/>
        <v>3.3826000000000036</v>
      </c>
      <c r="AA95">
        <f t="shared" si="37"/>
        <v>3382.6000000000035</v>
      </c>
      <c r="AB95">
        <f t="shared" si="59"/>
        <v>266.199999999998</v>
      </c>
      <c r="AC95">
        <v>0.91301222541454419</v>
      </c>
      <c r="AD95">
        <f t="shared" si="52"/>
        <v>7.295549221661858</v>
      </c>
      <c r="AE95">
        <f t="shared" si="51"/>
        <v>4.2314185485638776</v>
      </c>
      <c r="AF95">
        <f t="shared" si="61"/>
        <v>3.8633368656846863E-2</v>
      </c>
      <c r="AG95" s="2">
        <f t="shared" si="62"/>
        <v>1.9316684328423432</v>
      </c>
      <c r="AH95">
        <v>25</v>
      </c>
      <c r="AI95">
        <f>AG95-(AI96+AI97)</f>
        <v>0.94913665974903738</v>
      </c>
      <c r="AJ95">
        <f t="shared" si="60"/>
        <v>3.7965466389961497E-2</v>
      </c>
      <c r="AK95" t="s">
        <v>52</v>
      </c>
    </row>
    <row r="96" spans="1:37" x14ac:dyDescent="0.2">
      <c r="A96" t="s">
        <v>49</v>
      </c>
      <c r="B96">
        <v>2017</v>
      </c>
      <c r="C96">
        <f t="shared" si="53"/>
        <v>8</v>
      </c>
      <c r="D96">
        <v>2</v>
      </c>
      <c r="E96">
        <v>2</v>
      </c>
      <c r="F96" t="s">
        <v>39</v>
      </c>
      <c r="G96">
        <v>25</v>
      </c>
      <c r="H96">
        <v>18</v>
      </c>
      <c r="I96">
        <f t="shared" si="39"/>
        <v>0.72</v>
      </c>
      <c r="J96">
        <v>4</v>
      </c>
      <c r="L96">
        <v>62</v>
      </c>
      <c r="M96">
        <v>1.8819999999999999</v>
      </c>
      <c r="N96">
        <v>33.582000000000001</v>
      </c>
      <c r="O96">
        <f t="shared" si="35"/>
        <v>31.7</v>
      </c>
      <c r="P96">
        <v>20.844999999999999</v>
      </c>
      <c r="Q96">
        <f t="shared" si="36"/>
        <v>18.962999999999997</v>
      </c>
      <c r="R96">
        <f t="shared" si="54"/>
        <v>12.737000000000002</v>
      </c>
      <c r="S96" s="4">
        <f t="shared" si="55"/>
        <v>40.179810725552059</v>
      </c>
      <c r="T96">
        <v>6</v>
      </c>
      <c r="U96">
        <v>30.164100000000001</v>
      </c>
      <c r="V96">
        <v>33.5717</v>
      </c>
      <c r="W96">
        <f t="shared" si="56"/>
        <v>3.4075999999999986</v>
      </c>
      <c r="X96">
        <f t="shared" si="57"/>
        <v>3407.5999999999985</v>
      </c>
      <c r="Y96">
        <v>33.334200000000003</v>
      </c>
      <c r="Z96">
        <f t="shared" si="58"/>
        <v>3.1701000000000015</v>
      </c>
      <c r="AA96">
        <f t="shared" si="37"/>
        <v>3170.1000000000013</v>
      </c>
      <c r="AB96">
        <f t="shared" si="59"/>
        <v>237.49999999999727</v>
      </c>
      <c r="AC96">
        <v>0.97221786424472922</v>
      </c>
      <c r="AD96">
        <f t="shared" si="52"/>
        <v>6.9697147552528875</v>
      </c>
      <c r="AE96">
        <f t="shared" si="51"/>
        <v>4.0424345580466747</v>
      </c>
      <c r="AF96">
        <f t="shared" si="61"/>
        <v>3.9301270923732236E-2</v>
      </c>
      <c r="AG96" s="2">
        <f t="shared" si="62"/>
        <v>0.98253177309330586</v>
      </c>
      <c r="AH96">
        <v>15</v>
      </c>
      <c r="AI96">
        <f>AG96-AG97</f>
        <v>0.5817275674827842</v>
      </c>
      <c r="AJ96">
        <f t="shared" si="60"/>
        <v>3.8781837832185612E-2</v>
      </c>
    </row>
    <row r="97" spans="1:37" x14ac:dyDescent="0.2">
      <c r="A97" t="s">
        <v>49</v>
      </c>
      <c r="B97">
        <v>2017</v>
      </c>
      <c r="C97">
        <f t="shared" si="53"/>
        <v>8</v>
      </c>
      <c r="D97">
        <v>2</v>
      </c>
      <c r="E97">
        <v>2</v>
      </c>
      <c r="F97" t="s">
        <v>40</v>
      </c>
      <c r="G97">
        <v>10</v>
      </c>
      <c r="H97">
        <v>10</v>
      </c>
      <c r="I97">
        <f t="shared" si="39"/>
        <v>1</v>
      </c>
      <c r="J97">
        <v>4</v>
      </c>
      <c r="L97">
        <v>63</v>
      </c>
      <c r="M97">
        <v>1.879</v>
      </c>
      <c r="N97">
        <v>36.164000000000001</v>
      </c>
      <c r="O97">
        <f t="shared" si="35"/>
        <v>34.285000000000004</v>
      </c>
      <c r="P97">
        <v>23.641999999999999</v>
      </c>
      <c r="Q97">
        <f t="shared" si="36"/>
        <v>21.762999999999998</v>
      </c>
      <c r="R97">
        <f t="shared" si="54"/>
        <v>12.522000000000006</v>
      </c>
      <c r="S97" s="4">
        <f t="shared" si="55"/>
        <v>36.523260901268792</v>
      </c>
      <c r="T97">
        <v>16</v>
      </c>
      <c r="U97">
        <v>28.4528</v>
      </c>
      <c r="V97">
        <v>32.161499999999997</v>
      </c>
      <c r="W97">
        <f t="shared" si="56"/>
        <v>3.7086999999999968</v>
      </c>
      <c r="X97">
        <f t="shared" si="57"/>
        <v>3708.6999999999966</v>
      </c>
      <c r="Y97">
        <v>31.907499999999999</v>
      </c>
      <c r="Z97">
        <f t="shared" si="58"/>
        <v>3.454699999999999</v>
      </c>
      <c r="AA97">
        <f t="shared" si="37"/>
        <v>3454.6999999999989</v>
      </c>
      <c r="AB97">
        <f t="shared" si="59"/>
        <v>253.99999999999773</v>
      </c>
      <c r="AC97">
        <v>1.0090025504668434</v>
      </c>
      <c r="AD97">
        <f t="shared" si="52"/>
        <v>6.8487610213821011</v>
      </c>
      <c r="AE97">
        <f t="shared" si="51"/>
        <v>3.9722813924016185</v>
      </c>
      <c r="AF97">
        <f t="shared" si="61"/>
        <v>4.0080420561052169E-2</v>
      </c>
      <c r="AG97" s="2">
        <f t="shared" si="62"/>
        <v>0.40080420561052166</v>
      </c>
      <c r="AH97">
        <v>10</v>
      </c>
      <c r="AI97">
        <f>AG97</f>
        <v>0.40080420561052166</v>
      </c>
      <c r="AJ97">
        <f t="shared" si="60"/>
        <v>4.0080420561052169E-2</v>
      </c>
      <c r="AK97" t="s">
        <v>53</v>
      </c>
    </row>
    <row r="98" spans="1:37" x14ac:dyDescent="0.2">
      <c r="A98" t="s">
        <v>49</v>
      </c>
      <c r="B98">
        <v>2017</v>
      </c>
      <c r="C98">
        <f t="shared" si="53"/>
        <v>8</v>
      </c>
      <c r="D98">
        <v>2</v>
      </c>
      <c r="E98">
        <v>3</v>
      </c>
      <c r="F98" t="s">
        <v>41</v>
      </c>
      <c r="G98">
        <v>50</v>
      </c>
      <c r="H98">
        <v>16</v>
      </c>
      <c r="I98">
        <f t="shared" si="39"/>
        <v>0.32</v>
      </c>
      <c r="J98">
        <v>4</v>
      </c>
      <c r="L98">
        <v>64</v>
      </c>
      <c r="M98">
        <v>1.893</v>
      </c>
      <c r="N98">
        <v>35.481999999999999</v>
      </c>
      <c r="O98">
        <f t="shared" si="35"/>
        <v>33.588999999999999</v>
      </c>
      <c r="P98">
        <v>19.297000000000001</v>
      </c>
      <c r="Q98">
        <f t="shared" si="36"/>
        <v>17.404</v>
      </c>
      <c r="R98">
        <f t="shared" si="54"/>
        <v>16.184999999999999</v>
      </c>
      <c r="S98" s="4">
        <f t="shared" si="55"/>
        <v>48.185417845127866</v>
      </c>
      <c r="T98">
        <v>5</v>
      </c>
      <c r="U98">
        <v>22.167100000000001</v>
      </c>
      <c r="V98">
        <v>24.8886</v>
      </c>
      <c r="W98">
        <f t="shared" si="56"/>
        <v>2.7214999999999989</v>
      </c>
      <c r="X98">
        <f t="shared" si="57"/>
        <v>2721.4999999999991</v>
      </c>
      <c r="Y98">
        <v>24.610399999999998</v>
      </c>
      <c r="Z98">
        <f t="shared" si="58"/>
        <v>2.4432999999999971</v>
      </c>
      <c r="AA98">
        <f t="shared" si="37"/>
        <v>2443.299999999997</v>
      </c>
      <c r="AB98">
        <f t="shared" si="59"/>
        <v>278.20000000000209</v>
      </c>
      <c r="AC98">
        <v>0.91301222541454419</v>
      </c>
      <c r="AD98">
        <f t="shared" si="52"/>
        <v>10.222303876538753</v>
      </c>
      <c r="AE98">
        <f t="shared" si="51"/>
        <v>5.9289362483924766</v>
      </c>
      <c r="AF98">
        <f t="shared" si="61"/>
        <v>5.4131912784857739E-2</v>
      </c>
      <c r="AG98" s="2">
        <f t="shared" si="62"/>
        <v>2.7065956392428872</v>
      </c>
      <c r="AH98">
        <v>25</v>
      </c>
      <c r="AI98" s="5">
        <f>AG98-(AI99+AI100)</f>
        <v>-3.0258832477637148</v>
      </c>
      <c r="AJ98" s="5">
        <f t="shared" si="60"/>
        <v>-0.12103532991054859</v>
      </c>
      <c r="AK98" t="s">
        <v>54</v>
      </c>
    </row>
    <row r="99" spans="1:37" x14ac:dyDescent="0.2">
      <c r="A99" t="s">
        <v>49</v>
      </c>
      <c r="B99">
        <v>2017</v>
      </c>
      <c r="C99">
        <f t="shared" si="53"/>
        <v>8</v>
      </c>
      <c r="D99">
        <v>2</v>
      </c>
      <c r="E99">
        <v>3</v>
      </c>
      <c r="F99" t="s">
        <v>39</v>
      </c>
      <c r="G99">
        <v>25</v>
      </c>
      <c r="H99">
        <v>19.5</v>
      </c>
      <c r="I99">
        <f t="shared" si="39"/>
        <v>0.78</v>
      </c>
      <c r="J99">
        <v>4</v>
      </c>
      <c r="L99">
        <v>65</v>
      </c>
      <c r="M99">
        <v>1.895</v>
      </c>
      <c r="N99">
        <v>33.335000000000001</v>
      </c>
      <c r="O99">
        <f t="shared" si="35"/>
        <v>31.44</v>
      </c>
      <c r="P99">
        <v>17.021000000000001</v>
      </c>
      <c r="Q99">
        <f t="shared" si="36"/>
        <v>15.126000000000001</v>
      </c>
      <c r="R99">
        <f t="shared" si="54"/>
        <v>16.314</v>
      </c>
      <c r="S99" s="4">
        <f t="shared" si="55"/>
        <v>51.88931297709923</v>
      </c>
      <c r="T99">
        <v>18</v>
      </c>
      <c r="U99">
        <v>27.3673</v>
      </c>
      <c r="V99">
        <v>30.270600000000002</v>
      </c>
      <c r="W99">
        <f t="shared" si="56"/>
        <v>2.9033000000000015</v>
      </c>
      <c r="X99">
        <f t="shared" si="57"/>
        <v>2903.3000000000015</v>
      </c>
      <c r="Y99">
        <v>29.09</v>
      </c>
      <c r="Z99">
        <f t="shared" si="58"/>
        <v>1.7226999999999997</v>
      </c>
      <c r="AA99">
        <f t="shared" si="37"/>
        <v>1722.6999999999996</v>
      </c>
      <c r="AB99">
        <f>X99-AA99</f>
        <v>1180.600000000002</v>
      </c>
      <c r="AC99">
        <v>0.97221786424472922</v>
      </c>
      <c r="AD99">
        <f t="shared" si="52"/>
        <v>40.664071918162136</v>
      </c>
      <c r="AE99">
        <f t="shared" si="51"/>
        <v>23.585161712534038</v>
      </c>
      <c r="AF99">
        <f t="shared" si="61"/>
        <v>0.22929915548026403</v>
      </c>
      <c r="AG99" s="2">
        <f t="shared" si="62"/>
        <v>5.732478887006601</v>
      </c>
      <c r="AH99">
        <v>15</v>
      </c>
      <c r="AI99" s="5">
        <f t="shared" ref="AI99" si="63">AG99-AG100</f>
        <v>5.0994801116327757</v>
      </c>
      <c r="AJ99" s="5">
        <f t="shared" si="60"/>
        <v>0.33996534077551838</v>
      </c>
    </row>
    <row r="100" spans="1:37" x14ac:dyDescent="0.2">
      <c r="A100" t="s">
        <v>49</v>
      </c>
      <c r="B100">
        <v>2017</v>
      </c>
      <c r="C100">
        <f t="shared" si="53"/>
        <v>8</v>
      </c>
      <c r="D100">
        <v>2</v>
      </c>
      <c r="E100">
        <v>3</v>
      </c>
      <c r="F100" t="s">
        <v>40</v>
      </c>
      <c r="G100">
        <v>10</v>
      </c>
      <c r="H100">
        <v>10</v>
      </c>
      <c r="I100">
        <f t="shared" si="39"/>
        <v>1</v>
      </c>
      <c r="J100">
        <v>4</v>
      </c>
      <c r="L100">
        <v>66</v>
      </c>
      <c r="M100">
        <v>1.879</v>
      </c>
      <c r="N100">
        <v>34.139000000000003</v>
      </c>
      <c r="O100">
        <f t="shared" si="35"/>
        <v>32.260000000000005</v>
      </c>
      <c r="P100">
        <v>17.376999999999999</v>
      </c>
      <c r="Q100">
        <f t="shared" si="36"/>
        <v>15.497999999999999</v>
      </c>
      <c r="R100">
        <f t="shared" si="54"/>
        <v>16.762000000000008</v>
      </c>
      <c r="S100" s="4">
        <f t="shared" si="55"/>
        <v>51.959082455052709</v>
      </c>
      <c r="T100">
        <v>11</v>
      </c>
      <c r="U100">
        <v>27.4434</v>
      </c>
      <c r="V100">
        <v>30.346399999999999</v>
      </c>
      <c r="W100">
        <f t="shared" si="56"/>
        <v>2.9029999999999987</v>
      </c>
      <c r="X100">
        <f t="shared" si="57"/>
        <v>2902.9999999999986</v>
      </c>
      <c r="Y100">
        <v>30.032399999999999</v>
      </c>
      <c r="Z100">
        <f t="shared" si="58"/>
        <v>2.5889999999999986</v>
      </c>
      <c r="AA100">
        <f t="shared" si="37"/>
        <v>2588.9999999999986</v>
      </c>
      <c r="AB100">
        <f t="shared" si="59"/>
        <v>314</v>
      </c>
      <c r="AC100">
        <v>1.0090025504668434</v>
      </c>
      <c r="AD100">
        <f t="shared" si="52"/>
        <v>10.816396830864628</v>
      </c>
      <c r="AE100">
        <f t="shared" si="51"/>
        <v>6.2735101619014841</v>
      </c>
      <c r="AF100">
        <f t="shared" si="61"/>
        <v>6.3299877537382573E-2</v>
      </c>
      <c r="AG100" s="2">
        <f t="shared" si="62"/>
        <v>0.63299877537382576</v>
      </c>
      <c r="AH100">
        <v>10</v>
      </c>
      <c r="AI100">
        <f t="shared" ref="AI100" si="64">AG100</f>
        <v>0.63299877537382576</v>
      </c>
      <c r="AJ100">
        <f t="shared" si="60"/>
        <v>6.3299877537382573E-2</v>
      </c>
    </row>
    <row r="101" spans="1:37" x14ac:dyDescent="0.2">
      <c r="A101" t="s">
        <v>55</v>
      </c>
      <c r="B101">
        <v>2025</v>
      </c>
      <c r="C101">
        <f>2025-B101</f>
        <v>0</v>
      </c>
      <c r="D101">
        <v>1</v>
      </c>
      <c r="E101">
        <v>1</v>
      </c>
      <c r="F101" t="s">
        <v>38</v>
      </c>
      <c r="G101">
        <v>50</v>
      </c>
      <c r="H101">
        <v>14</v>
      </c>
      <c r="I101">
        <f>H101/G101</f>
        <v>0.28000000000000003</v>
      </c>
      <c r="J101">
        <v>4</v>
      </c>
      <c r="L101">
        <v>1</v>
      </c>
      <c r="M101">
        <v>1.8680000000000001</v>
      </c>
      <c r="N101">
        <v>35.682000000000002</v>
      </c>
      <c r="O101">
        <f t="shared" si="35"/>
        <v>33.814</v>
      </c>
      <c r="P101">
        <v>8.2119999999999997</v>
      </c>
      <c r="Q101">
        <f t="shared" si="36"/>
        <v>6.3439999999999994</v>
      </c>
      <c r="R101">
        <f>O101-Q101</f>
        <v>27.47</v>
      </c>
      <c r="S101">
        <f>((O101-Q101)/O101)*100</f>
        <v>81.23854024960076</v>
      </c>
      <c r="T101">
        <v>1</v>
      </c>
      <c r="U101">
        <v>27.968599999999999</v>
      </c>
      <c r="V101">
        <v>30.301300000000001</v>
      </c>
      <c r="W101">
        <f>V101-U101</f>
        <v>2.3327000000000027</v>
      </c>
      <c r="X101">
        <f>W101*1000</f>
        <v>2332.7000000000025</v>
      </c>
      <c r="Y101">
        <v>28.4863</v>
      </c>
      <c r="Z101">
        <f>Y101-U101</f>
        <v>0.51770000000000138</v>
      </c>
      <c r="AA101">
        <f t="shared" si="37"/>
        <v>517.70000000000141</v>
      </c>
      <c r="AB101">
        <f>X101-AA101</f>
        <v>1815.0000000000011</v>
      </c>
      <c r="AC101">
        <v>0.24107995004844848</v>
      </c>
      <c r="AD101">
        <f t="shared" si="52"/>
        <v>77.806833283319719</v>
      </c>
      <c r="AE101">
        <f t="shared" si="51"/>
        <v>45.127963304325434</v>
      </c>
      <c r="AF101">
        <f t="shared" si="61"/>
        <v>0.10879447139194992</v>
      </c>
      <c r="AG101">
        <f t="shared" si="62"/>
        <v>5.4397235695974961</v>
      </c>
      <c r="AH101" t="s">
        <v>38</v>
      </c>
      <c r="AI101">
        <v>25</v>
      </c>
      <c r="AJ101">
        <f>AF101-(AJ102+AJ103)</f>
        <v>1.427802139814377E-2</v>
      </c>
    </row>
    <row r="102" spans="1:37" x14ac:dyDescent="0.2">
      <c r="A102" t="s">
        <v>55</v>
      </c>
      <c r="B102">
        <v>2025</v>
      </c>
      <c r="C102">
        <f t="shared" ref="C102:C109" si="65">2025-B102</f>
        <v>0</v>
      </c>
      <c r="D102">
        <v>1</v>
      </c>
      <c r="E102">
        <v>1</v>
      </c>
      <c r="F102" t="s">
        <v>39</v>
      </c>
      <c r="G102">
        <v>25</v>
      </c>
      <c r="H102">
        <v>11</v>
      </c>
      <c r="I102">
        <f t="shared" ref="I102:I109" si="66">H102/G102</f>
        <v>0.44</v>
      </c>
      <c r="J102">
        <v>4</v>
      </c>
      <c r="L102">
        <v>2</v>
      </c>
      <c r="M102">
        <v>1.87</v>
      </c>
      <c r="N102">
        <v>33.213999999999999</v>
      </c>
      <c r="O102">
        <f t="shared" si="35"/>
        <v>31.343999999999998</v>
      </c>
      <c r="P102">
        <v>8.07</v>
      </c>
      <c r="Q102">
        <f t="shared" si="36"/>
        <v>6.2</v>
      </c>
      <c r="R102">
        <f t="shared" ref="R102:R109" si="67">O102-Q102</f>
        <v>25.143999999999998</v>
      </c>
      <c r="S102">
        <f t="shared" ref="S102:S109" si="68">((O102-Q102)/O102)*100</f>
        <v>80.219499744767745</v>
      </c>
      <c r="T102">
        <v>6</v>
      </c>
      <c r="U102">
        <v>30.164300000000001</v>
      </c>
      <c r="V102">
        <v>32.866199999999999</v>
      </c>
      <c r="W102">
        <f t="shared" ref="W102:W108" si="69">V102-U102</f>
        <v>2.7018999999999984</v>
      </c>
      <c r="X102">
        <f t="shared" ref="X102:X108" si="70">W102*1000</f>
        <v>2701.8999999999983</v>
      </c>
      <c r="Y102">
        <v>30.791399999999999</v>
      </c>
      <c r="Z102">
        <f t="shared" ref="Z102:Z108" si="71">Y102-U102</f>
        <v>0.62709999999999866</v>
      </c>
      <c r="AA102">
        <f t="shared" si="37"/>
        <v>627.09999999999866</v>
      </c>
      <c r="AB102">
        <f t="shared" ref="AB102:AB108" si="72">X102-AA102</f>
        <v>2074.7999999999997</v>
      </c>
      <c r="AC102">
        <v>0.21221322224515593</v>
      </c>
      <c r="AD102">
        <f t="shared" si="52"/>
        <v>76.790406750805033</v>
      </c>
      <c r="AE102">
        <f t="shared" si="51"/>
        <v>44.538435915466913</v>
      </c>
      <c r="AF102">
        <f t="shared" si="61"/>
        <v>9.4516449993806151E-2</v>
      </c>
      <c r="AG102">
        <f t="shared" si="62"/>
        <v>2.3629112498451539</v>
      </c>
      <c r="AH102" t="s">
        <v>39</v>
      </c>
      <c r="AI102">
        <v>15</v>
      </c>
      <c r="AJ102">
        <f>AF102-AF103</f>
        <v>3.4225412261112705E-2</v>
      </c>
    </row>
    <row r="103" spans="1:37" x14ac:dyDescent="0.2">
      <c r="A103" t="s">
        <v>55</v>
      </c>
      <c r="B103">
        <v>2025</v>
      </c>
      <c r="C103">
        <f t="shared" si="65"/>
        <v>0</v>
      </c>
      <c r="D103">
        <v>1</v>
      </c>
      <c r="E103">
        <v>1</v>
      </c>
      <c r="F103" t="s">
        <v>40</v>
      </c>
      <c r="G103">
        <v>10</v>
      </c>
      <c r="H103">
        <v>8</v>
      </c>
      <c r="I103">
        <f t="shared" si="66"/>
        <v>0.8</v>
      </c>
      <c r="J103">
        <v>4</v>
      </c>
      <c r="L103">
        <v>3</v>
      </c>
      <c r="M103">
        <v>1.879</v>
      </c>
      <c r="N103">
        <v>30.547999999999998</v>
      </c>
      <c r="O103">
        <f t="shared" si="35"/>
        <v>28.668999999999997</v>
      </c>
      <c r="P103">
        <v>6.3860000000000001</v>
      </c>
      <c r="Q103">
        <f t="shared" si="36"/>
        <v>4.5069999999999997</v>
      </c>
      <c r="R103">
        <f t="shared" si="67"/>
        <v>24.161999999999999</v>
      </c>
      <c r="S103">
        <f t="shared" si="68"/>
        <v>84.279186577836697</v>
      </c>
      <c r="T103">
        <v>15</v>
      </c>
      <c r="U103">
        <v>27.8385</v>
      </c>
      <c r="V103">
        <v>30.345199999999998</v>
      </c>
      <c r="W103">
        <f t="shared" si="69"/>
        <v>2.5066999999999986</v>
      </c>
      <c r="X103">
        <f t="shared" si="70"/>
        <v>2506.6999999999985</v>
      </c>
      <c r="Y103">
        <v>28.4541</v>
      </c>
      <c r="Z103">
        <f>Y103-U103</f>
        <v>0.61560000000000059</v>
      </c>
      <c r="AA103">
        <f t="shared" si="37"/>
        <v>615.60000000000059</v>
      </c>
      <c r="AB103">
        <f t="shared" si="72"/>
        <v>1891.0999999999979</v>
      </c>
      <c r="AC103">
        <v>0.13778839198180839</v>
      </c>
      <c r="AD103">
        <f t="shared" si="52"/>
        <v>75.441815933298713</v>
      </c>
      <c r="AE103">
        <f t="shared" si="51"/>
        <v>43.756253241313253</v>
      </c>
      <c r="AF103">
        <f t="shared" si="61"/>
        <v>6.0291037732693446E-2</v>
      </c>
      <c r="AG103">
        <f t="shared" si="62"/>
        <v>0.60291037732693442</v>
      </c>
      <c r="AH103" t="s">
        <v>40</v>
      </c>
      <c r="AI103">
        <v>10</v>
      </c>
      <c r="AJ103">
        <f>AF103</f>
        <v>6.0291037732693446E-2</v>
      </c>
    </row>
    <row r="104" spans="1:37" x14ac:dyDescent="0.2">
      <c r="A104" t="s">
        <v>55</v>
      </c>
      <c r="B104">
        <v>2025</v>
      </c>
      <c r="C104">
        <f t="shared" si="65"/>
        <v>0</v>
      </c>
      <c r="D104">
        <v>1</v>
      </c>
      <c r="E104">
        <v>2</v>
      </c>
      <c r="F104" s="3" t="s">
        <v>41</v>
      </c>
      <c r="G104">
        <v>50</v>
      </c>
      <c r="H104">
        <v>24</v>
      </c>
      <c r="I104">
        <f t="shared" si="66"/>
        <v>0.48</v>
      </c>
      <c r="J104">
        <v>4</v>
      </c>
      <c r="L104">
        <v>4</v>
      </c>
      <c r="M104">
        <v>1.887</v>
      </c>
      <c r="N104">
        <v>28.922000000000001</v>
      </c>
      <c r="O104">
        <f t="shared" si="35"/>
        <v>27.035</v>
      </c>
      <c r="P104">
        <v>6.5289999999999999</v>
      </c>
      <c r="Q104">
        <f t="shared" si="36"/>
        <v>4.6419999999999995</v>
      </c>
      <c r="R104">
        <f t="shared" si="67"/>
        <v>22.393000000000001</v>
      </c>
      <c r="S104">
        <f t="shared" si="68"/>
        <v>82.82966524875161</v>
      </c>
      <c r="T104">
        <v>8</v>
      </c>
      <c r="U104">
        <v>27.346</v>
      </c>
      <c r="V104">
        <v>29.743400000000001</v>
      </c>
      <c r="W104">
        <f t="shared" si="69"/>
        <v>2.3974000000000011</v>
      </c>
      <c r="X104">
        <f t="shared" si="70"/>
        <v>2397.400000000001</v>
      </c>
      <c r="Y104">
        <v>27.889199999999999</v>
      </c>
      <c r="Z104">
        <f t="shared" si="71"/>
        <v>0.54319999999999879</v>
      </c>
      <c r="AA104">
        <f t="shared" si="37"/>
        <v>543.19999999999879</v>
      </c>
      <c r="AB104">
        <f t="shared" si="72"/>
        <v>1854.2000000000021</v>
      </c>
      <c r="AC104">
        <v>0.24107995004844848</v>
      </c>
      <c r="AD104">
        <f t="shared" si="52"/>
        <v>77.342120630683297</v>
      </c>
      <c r="AE104">
        <f t="shared" si="51"/>
        <v>44.858429965796311</v>
      </c>
      <c r="AF104">
        <f t="shared" si="61"/>
        <v>0.10814468055405999</v>
      </c>
      <c r="AG104">
        <f t="shared" si="62"/>
        <v>5.4072340277029989</v>
      </c>
      <c r="AH104" s="3" t="s">
        <v>41</v>
      </c>
      <c r="AI104">
        <v>25</v>
      </c>
      <c r="AJ104">
        <f>AF104-(AJ105+AJ106)</f>
        <v>1.3992431182355963E-2</v>
      </c>
    </row>
    <row r="105" spans="1:37" x14ac:dyDescent="0.2">
      <c r="A105" t="s">
        <v>55</v>
      </c>
      <c r="B105">
        <v>2025</v>
      </c>
      <c r="C105">
        <f t="shared" si="65"/>
        <v>0</v>
      </c>
      <c r="D105">
        <v>1</v>
      </c>
      <c r="E105">
        <v>2</v>
      </c>
      <c r="F105" t="s">
        <v>39</v>
      </c>
      <c r="G105">
        <v>25</v>
      </c>
      <c r="H105">
        <v>18</v>
      </c>
      <c r="I105">
        <f t="shared" si="66"/>
        <v>0.72</v>
      </c>
      <c r="J105">
        <v>4</v>
      </c>
      <c r="L105">
        <v>5</v>
      </c>
      <c r="M105">
        <v>1.893</v>
      </c>
      <c r="N105">
        <v>32.536999999999999</v>
      </c>
      <c r="O105">
        <f t="shared" si="35"/>
        <v>30.643999999999998</v>
      </c>
      <c r="P105">
        <v>6.83</v>
      </c>
      <c r="Q105">
        <f t="shared" si="36"/>
        <v>4.9370000000000003</v>
      </c>
      <c r="R105">
        <f t="shared" si="67"/>
        <v>25.706999999999997</v>
      </c>
      <c r="S105">
        <f t="shared" si="68"/>
        <v>83.889178958360517</v>
      </c>
      <c r="T105">
        <v>13</v>
      </c>
      <c r="U105">
        <v>22.196400000000001</v>
      </c>
      <c r="V105">
        <v>24.901299999999999</v>
      </c>
      <c r="W105">
        <f t="shared" si="69"/>
        <v>2.7048999999999985</v>
      </c>
      <c r="X105">
        <f t="shared" si="70"/>
        <v>2704.8999999999987</v>
      </c>
      <c r="Y105">
        <v>22.8322</v>
      </c>
      <c r="Z105">
        <f t="shared" si="71"/>
        <v>0.6357999999999997</v>
      </c>
      <c r="AA105">
        <f t="shared" si="37"/>
        <v>635.79999999999973</v>
      </c>
      <c r="AB105">
        <f t="shared" si="72"/>
        <v>2069.099999999999</v>
      </c>
      <c r="AC105">
        <v>0.21221322224515593</v>
      </c>
      <c r="AD105">
        <f t="shared" si="52"/>
        <v>76.494509963399764</v>
      </c>
      <c r="AE105">
        <f t="shared" si="51"/>
        <v>44.366815778771858</v>
      </c>
      <c r="AF105">
        <f t="shared" si="61"/>
        <v>9.4152249371704022E-2</v>
      </c>
      <c r="AG105">
        <f t="shared" si="62"/>
        <v>2.3538062342926005</v>
      </c>
      <c r="AH105" t="s">
        <v>39</v>
      </c>
      <c r="AI105">
        <v>15</v>
      </c>
      <c r="AJ105">
        <f>AF105-AF106</f>
        <v>3.5343707035027115E-2</v>
      </c>
      <c r="AK105" t="s">
        <v>56</v>
      </c>
    </row>
    <row r="106" spans="1:37" x14ac:dyDescent="0.2">
      <c r="A106" t="s">
        <v>55</v>
      </c>
      <c r="B106">
        <v>2025</v>
      </c>
      <c r="C106">
        <f t="shared" si="65"/>
        <v>0</v>
      </c>
      <c r="D106">
        <v>1</v>
      </c>
      <c r="E106">
        <v>2</v>
      </c>
      <c r="F106" t="s">
        <v>40</v>
      </c>
      <c r="G106">
        <v>10</v>
      </c>
      <c r="H106">
        <v>10</v>
      </c>
      <c r="I106">
        <f t="shared" si="66"/>
        <v>1</v>
      </c>
      <c r="J106">
        <v>4</v>
      </c>
      <c r="L106">
        <v>6</v>
      </c>
      <c r="M106">
        <v>1.881</v>
      </c>
      <c r="N106">
        <v>33.601999999999997</v>
      </c>
      <c r="O106">
        <f t="shared" si="35"/>
        <v>31.720999999999997</v>
      </c>
      <c r="P106">
        <v>6.5640000000000001</v>
      </c>
      <c r="Q106">
        <f t="shared" si="36"/>
        <v>4.6829999999999998</v>
      </c>
      <c r="R106">
        <f t="shared" si="67"/>
        <v>27.037999999999997</v>
      </c>
      <c r="S106">
        <f t="shared" si="68"/>
        <v>85.236909302985396</v>
      </c>
      <c r="T106">
        <v>2</v>
      </c>
      <c r="U106">
        <v>26.645499999999998</v>
      </c>
      <c r="V106">
        <v>28.962900000000001</v>
      </c>
      <c r="W106">
        <f t="shared" si="69"/>
        <v>2.3174000000000028</v>
      </c>
      <c r="X106">
        <f t="shared" si="70"/>
        <v>2317.4000000000028</v>
      </c>
      <c r="Y106">
        <v>27.2576</v>
      </c>
      <c r="Z106">
        <f>Y106-U106</f>
        <v>0.61210000000000164</v>
      </c>
      <c r="AA106">
        <f t="shared" si="37"/>
        <v>612.10000000000161</v>
      </c>
      <c r="AB106">
        <f t="shared" si="72"/>
        <v>1705.3000000000011</v>
      </c>
      <c r="AC106">
        <v>0.13778839198180839</v>
      </c>
      <c r="AD106">
        <f t="shared" si="52"/>
        <v>73.586778286010144</v>
      </c>
      <c r="AE106">
        <f t="shared" si="51"/>
        <v>42.68033140588588</v>
      </c>
      <c r="AF106">
        <f t="shared" si="61"/>
        <v>5.8808542336676907E-2</v>
      </c>
      <c r="AG106">
        <f t="shared" si="62"/>
        <v>0.58808542336676906</v>
      </c>
      <c r="AH106" t="s">
        <v>40</v>
      </c>
      <c r="AI106">
        <v>10</v>
      </c>
      <c r="AJ106">
        <f>AF106</f>
        <v>5.8808542336676907E-2</v>
      </c>
      <c r="AK106" t="s">
        <v>57</v>
      </c>
    </row>
    <row r="107" spans="1:37" x14ac:dyDescent="0.2">
      <c r="A107" t="s">
        <v>55</v>
      </c>
      <c r="B107">
        <v>2025</v>
      </c>
      <c r="C107">
        <f t="shared" si="65"/>
        <v>0</v>
      </c>
      <c r="D107">
        <v>1</v>
      </c>
      <c r="E107">
        <v>3</v>
      </c>
      <c r="F107" s="3" t="s">
        <v>41</v>
      </c>
      <c r="G107">
        <v>50</v>
      </c>
      <c r="H107">
        <v>25</v>
      </c>
      <c r="I107">
        <f t="shared" si="66"/>
        <v>0.5</v>
      </c>
      <c r="J107">
        <v>4</v>
      </c>
      <c r="L107">
        <v>7</v>
      </c>
      <c r="M107">
        <v>1.863</v>
      </c>
      <c r="N107">
        <v>29.98</v>
      </c>
      <c r="O107">
        <f t="shared" si="35"/>
        <v>28.117000000000001</v>
      </c>
      <c r="P107">
        <v>8.0239999999999991</v>
      </c>
      <c r="Q107">
        <f t="shared" si="36"/>
        <v>6.1609999999999996</v>
      </c>
      <c r="R107">
        <f t="shared" si="67"/>
        <v>21.956000000000003</v>
      </c>
      <c r="S107">
        <f t="shared" si="68"/>
        <v>78.087989472561091</v>
      </c>
      <c r="T107">
        <v>21</v>
      </c>
      <c r="U107">
        <v>31.079699999999999</v>
      </c>
      <c r="V107">
        <v>33.519500000000001</v>
      </c>
      <c r="W107">
        <f t="shared" si="69"/>
        <v>2.4398000000000017</v>
      </c>
      <c r="X107">
        <f t="shared" si="70"/>
        <v>2439.8000000000015</v>
      </c>
      <c r="Y107">
        <v>31.578199999999999</v>
      </c>
      <c r="Z107">
        <f t="shared" si="71"/>
        <v>0.49849999999999994</v>
      </c>
      <c r="AA107">
        <f t="shared" si="37"/>
        <v>498.49999999999994</v>
      </c>
      <c r="AB107">
        <f t="shared" si="72"/>
        <v>1941.3000000000015</v>
      </c>
      <c r="AC107">
        <v>0.24107995004844848</v>
      </c>
      <c r="AD107">
        <f t="shared" si="52"/>
        <v>79.567997376834171</v>
      </c>
      <c r="AE107">
        <f t="shared" si="51"/>
        <v>46.149438478563816</v>
      </c>
      <c r="AF107">
        <f t="shared" si="61"/>
        <v>0.11125704323176111</v>
      </c>
      <c r="AG107">
        <f t="shared" si="62"/>
        <v>5.5628521615880553</v>
      </c>
      <c r="AH107" s="3" t="s">
        <v>41</v>
      </c>
      <c r="AI107">
        <v>25</v>
      </c>
      <c r="AJ107">
        <f t="shared" ref="AJ107" si="73">AF107-(AJ108+AJ109)</f>
        <v>1.1489289600034383E-2</v>
      </c>
      <c r="AK107" t="s">
        <v>58</v>
      </c>
    </row>
    <row r="108" spans="1:37" x14ac:dyDescent="0.2">
      <c r="A108" t="s">
        <v>55</v>
      </c>
      <c r="B108">
        <v>2025</v>
      </c>
      <c r="C108">
        <f t="shared" si="65"/>
        <v>0</v>
      </c>
      <c r="D108">
        <v>1</v>
      </c>
      <c r="E108">
        <v>3</v>
      </c>
      <c r="F108" t="s">
        <v>39</v>
      </c>
      <c r="G108">
        <v>25</v>
      </c>
      <c r="H108">
        <v>20</v>
      </c>
      <c r="I108">
        <f t="shared" si="66"/>
        <v>0.8</v>
      </c>
      <c r="J108">
        <v>4</v>
      </c>
      <c r="L108">
        <v>8</v>
      </c>
      <c r="M108">
        <v>1.8740000000000001</v>
      </c>
      <c r="N108">
        <v>30.741</v>
      </c>
      <c r="O108">
        <f t="shared" si="35"/>
        <v>28.867000000000001</v>
      </c>
      <c r="P108">
        <v>7.8330000000000002</v>
      </c>
      <c r="Q108">
        <f t="shared" si="36"/>
        <v>5.9589999999999996</v>
      </c>
      <c r="R108">
        <f t="shared" si="67"/>
        <v>22.908000000000001</v>
      </c>
      <c r="S108">
        <f t="shared" si="68"/>
        <v>79.357051304257453</v>
      </c>
      <c r="T108">
        <v>12</v>
      </c>
      <c r="U108">
        <v>29.423300000000001</v>
      </c>
      <c r="V108">
        <v>32.313000000000002</v>
      </c>
      <c r="W108">
        <f t="shared" si="69"/>
        <v>2.8897000000000013</v>
      </c>
      <c r="X108">
        <f t="shared" si="70"/>
        <v>2889.7000000000012</v>
      </c>
      <c r="Y108">
        <v>29.970700000000001</v>
      </c>
      <c r="Z108">
        <f t="shared" si="71"/>
        <v>0.54739999999999966</v>
      </c>
      <c r="AA108">
        <f t="shared" si="37"/>
        <v>547.39999999999964</v>
      </c>
      <c r="AB108">
        <f t="shared" si="72"/>
        <v>2342.3000000000015</v>
      </c>
      <c r="AC108">
        <v>0.21221322224515593</v>
      </c>
      <c r="AD108">
        <f t="shared" si="52"/>
        <v>81.056857113195164</v>
      </c>
      <c r="AE108">
        <f t="shared" si="51"/>
        <v>47.012977125653194</v>
      </c>
      <c r="AF108">
        <f t="shared" si="61"/>
        <v>9.9767753631726727E-2</v>
      </c>
      <c r="AG108">
        <f t="shared" si="62"/>
        <v>2.4941938407931681</v>
      </c>
      <c r="AH108" t="s">
        <v>39</v>
      </c>
      <c r="AI108">
        <v>15</v>
      </c>
      <c r="AJ108">
        <f t="shared" ref="AJ108" si="74">AF108-AF109</f>
        <v>9.9767753631726727E-2</v>
      </c>
    </row>
    <row r="109" spans="1:37" x14ac:dyDescent="0.2">
      <c r="A109" t="s">
        <v>55</v>
      </c>
      <c r="B109">
        <v>2025</v>
      </c>
      <c r="C109">
        <f t="shared" si="65"/>
        <v>0</v>
      </c>
      <c r="D109">
        <v>1</v>
      </c>
      <c r="E109">
        <v>3</v>
      </c>
      <c r="F109" t="s">
        <v>40</v>
      </c>
      <c r="G109">
        <v>10</v>
      </c>
      <c r="H109">
        <v>10</v>
      </c>
      <c r="I109">
        <f t="shared" si="66"/>
        <v>1</v>
      </c>
      <c r="J109">
        <v>4</v>
      </c>
      <c r="L109">
        <v>9</v>
      </c>
      <c r="M109">
        <v>1.8320000000000001</v>
      </c>
      <c r="N109">
        <v>32.436999999999998</v>
      </c>
      <c r="O109">
        <f t="shared" si="35"/>
        <v>30.604999999999997</v>
      </c>
      <c r="P109">
        <v>6.7889999999999997</v>
      </c>
      <c r="Q109">
        <f t="shared" si="36"/>
        <v>4.9569999999999999</v>
      </c>
      <c r="R109">
        <f t="shared" si="67"/>
        <v>25.647999999999996</v>
      </c>
      <c r="S109">
        <f t="shared" si="68"/>
        <v>83.803300114360397</v>
      </c>
      <c r="AH109" t="s">
        <v>40</v>
      </c>
      <c r="AI109">
        <v>10</v>
      </c>
      <c r="AK10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no_compaction</vt:lpstr>
      <vt:lpstr>with_compaction</vt:lpstr>
      <vt:lpstr>with_mean_compaction</vt:lpstr>
      <vt:lpstr>no_compaction_Palau</vt:lpstr>
      <vt:lpstr>no_compaction_Van_Bemmelen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Stichling</dc:creator>
  <cp:lastModifiedBy>Chiara Stichling</cp:lastModifiedBy>
  <dcterms:created xsi:type="dcterms:W3CDTF">2026-01-29T12:42:52Z</dcterms:created>
  <dcterms:modified xsi:type="dcterms:W3CDTF">2026-03-31T11:51:12Z</dcterms:modified>
</cp:coreProperties>
</file>